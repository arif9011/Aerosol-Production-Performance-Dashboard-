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7b28505fc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Mockup" sheetId="1" r:id="Rbd71277d783b4d37"/>
    <x:sheet xmlns:r="http://schemas.openxmlformats.org/officeDocument/2006/relationships" name="Power BI Guide" sheetId="2" r:id="R20668d722b2b417c"/>
    <x:sheet xmlns:r="http://schemas.openxmlformats.org/officeDocument/2006/relationships" name="Production Data" sheetId="3" r:id="Rce4312f8e5a1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#,##0"/>
    <x:numFmt numFmtId="202" formatCode="0.00"/>
    <x:numFmt numFmtId="203" formatCode="0.0%"/>
    <x:numFmt numFmtId="204" formatCode="#,##0.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7F6000"/>
      <x:name val="Arial"/>
    </x:font>
    <x:font>
      <x:i/>
      <x:sz val="10"/>
      <x:color rgb="FF667085"/>
      <x:name val="Arial"/>
    </x:font>
    <x:font>
      <x:i/>
      <x:sz val="10"/>
      <x:color rgb="FF7F60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  <x:fill>
      <x:patternFill patternType="solid">
        <x:fgColor rgb="FF70AD47"/>
      </x:patternFill>
    </x:fill>
    <x:fill>
      <x:patternFill patternType="solid">
        <x:fgColor rgb="FFC00000"/>
      </x:patternFill>
    </x:fill>
    <x:fill>
      <x:patternFill patternType="solid">
        <x:fgColor rgb="FFED7D31"/>
      </x:patternFill>
    </x:fill>
  </x:fills>
  <x:borders count="2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bottom style="medium">
        <x:color rgb="FF2F75B5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</x:borders>
  <x:cellStyleXfs count="1">
    <x:xf numFmtId="0" fontId="0" fillId="0" borderId="0"/>
  </x:cellStyleXfs>
  <x:cellXfs count="1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4" xfId="0" applyNumberFormat="1" applyFont="1" applyFill="1" applyBorder="1"/>
    <x:xf numFmtId="0" fontId="1" fillId="0" borderId="5" xfId="0" applyNumberFormat="1" applyFont="1" applyFill="1" applyBorder="1"/>
    <x:xf numFmtId="201" fontId="1" fillId="0" borderId="5" xfId="0" applyNumberFormat="1" applyFont="1" applyFill="1" applyBorder="1"/>
    <x:xf numFmtId="202" fontId="1" fillId="0" borderId="5" xfId="0" applyNumberFormat="1" applyFont="1" applyFill="1" applyBorder="1"/>
    <x:xf numFmtId="203" fontId="1" fillId="0" borderId="5" xfId="0" applyNumberFormat="1" applyFont="1" applyFill="1" applyBorder="1"/>
    <x:xf numFmtId="204" fontId="1" fillId="0" borderId="5" xfId="0" applyNumberFormat="1" applyFont="1" applyFill="1" applyBorder="1"/>
    <x:xf numFmtId="204" fontId="1" fillId="0" borderId="6" xfId="0" applyNumberFormat="1" applyFont="1" applyFill="1" applyBorder="1"/>
    <x:xf numFmtId="200" fontId="1" fillId="0" borderId="7" xfId="0" applyNumberFormat="1" applyFont="1" applyFill="1" applyBorder="1"/>
    <x:xf numFmtId="0" fontId="1" fillId="0" borderId="8" xfId="0" applyNumberFormat="1" applyFont="1" applyFill="1" applyBorder="1"/>
    <x:xf numFmtId="201" fontId="1" fillId="0" borderId="8" xfId="0" applyNumberFormat="1" applyFont="1" applyFill="1" applyBorder="1"/>
    <x:xf numFmtId="202" fontId="1" fillId="0" borderId="8" xfId="0" applyNumberFormat="1" applyFont="1" applyFill="1" applyBorder="1"/>
    <x:xf numFmtId="203" fontId="1" fillId="0" borderId="8" xfId="0" applyNumberFormat="1" applyFont="1" applyFill="1" applyBorder="1"/>
    <x:xf numFmtId="204" fontId="1" fillId="0" borderId="8" xfId="0" applyNumberFormat="1" applyFont="1" applyFill="1" applyBorder="1"/>
    <x:xf numFmtId="204" fontId="1" fillId="0" borderId="9" xfId="0" applyNumberFormat="1" applyFont="1" applyFill="1" applyBorder="1"/>
    <x:xf numFmtId="200" fontId="1" fillId="0" borderId="10" xfId="0" applyNumberFormat="1" applyFont="1" applyFill="1" applyBorder="1"/>
    <x:xf numFmtId="0" fontId="1" fillId="0" borderId="11" xfId="0" applyNumberFormat="1" applyFont="1" applyFill="1" applyBorder="1"/>
    <x:xf numFmtId="201" fontId="1" fillId="0" borderId="11" xfId="0" applyNumberFormat="1" applyFont="1" applyFill="1" applyBorder="1"/>
    <x:xf numFmtId="202" fontId="1" fillId="0" borderId="11" xfId="0" applyNumberFormat="1" applyFont="1" applyFill="1" applyBorder="1"/>
    <x:xf numFmtId="203" fontId="1" fillId="0" borderId="11" xfId="0" applyNumberFormat="1" applyFont="1" applyFill="1" applyBorder="1"/>
    <x:xf numFmtId="204" fontId="1" fillId="0" borderId="11" xfId="0" applyNumberFormat="1" applyFont="1" applyFill="1" applyBorder="1"/>
    <x:xf numFmtId="204" fontId="1" fillId="0" borderId="12" xfId="0" applyNumberFormat="1" applyFont="1" applyFill="1" applyBorder="1"/>
    <x:xf numFmtId="0" fontId="3" fillId="0" borderId="0" xfId="0" applyNumberFormat="1" applyFont="1" applyFill="1" applyBorder="1"/>
    <x:xf numFmtId="0" fontId="1" fillId="0" borderId="13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14" xfId="0" applyNumberFormat="1" applyFont="1" applyFill="1" applyBorder="1" applyAlignment="1">
      <x:alignment horizontal="center"/>
    </x:xf>
    <x:xf numFmtId="0" fontId="1" fillId="0" borderId="15" xfId="0" applyNumberFormat="1" applyFont="1" applyFill="1" applyBorder="1"/>
    <x:xf numFmtId="0" fontId="1" fillId="0" borderId="16" xfId="0" applyNumberFormat="1" applyFont="1" applyFill="1" applyBorder="1" applyAlignment="1">
      <x:alignment horizontal="center"/>
    </x:xf>
    <x:xf numFmtId="0" fontId="1" fillId="0" borderId="17" xfId="0" applyNumberFormat="1" applyFont="1" applyFill="1" applyBorder="1"/>
    <x:xf numFmtId="0" fontId="1" fillId="0" borderId="18" xfId="0" applyNumberFormat="1" applyFont="1" applyFill="1" applyBorder="1" applyAlignment="1">
      <x:alignment horizontal="center"/>
    </x:xf>
    <x:xf numFmtId="0" fontId="1" fillId="0" borderId="19" xfId="0" applyNumberFormat="1" applyFont="1" applyFill="1" applyBorder="1"/>
    <x:xf numFmtId="0" fontId="1" fillId="0" borderId="15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14" xfId="0" applyNumberFormat="1" applyFont="1" applyFill="1" applyBorder="1"/>
    <x:xf numFmtId="0" fontId="1" fillId="0" borderId="20" xfId="0" applyNumberFormat="1" applyFont="1" applyFill="1" applyBorder="1"/>
    <x:xf numFmtId="0" fontId="1" fillId="0" borderId="16" xfId="0" applyNumberFormat="1" applyFont="1" applyFill="1" applyBorder="1"/>
    <x:xf numFmtId="0" fontId="1" fillId="0" borderId="21" xfId="0" applyNumberFormat="1" applyFont="1" applyFill="1" applyBorder="1"/>
    <x:xf numFmtId="0" fontId="1" fillId="0" borderId="18" xfId="0" applyNumberFormat="1" applyFont="1" applyFill="1" applyBorder="1"/>
    <x:xf numFmtId="0" fontId="1" fillId="0" borderId="22" xfId="0" applyNumberFormat="1" applyFont="1" applyFill="1" applyBorder="1"/>
    <x:xf numFmtId="0" fontId="1" fillId="0" borderId="20" xfId="0" applyNumberFormat="1" applyFont="1" applyFill="1" applyBorder="1" applyAlignment="1">
      <x:alignment wrapText="1"/>
    </x:xf>
    <x:xf numFmtId="0" fontId="1" fillId="0" borderId="21" xfId="0" applyNumberFormat="1" applyFont="1" applyFill="1" applyBorder="1" applyAlignment="1">
      <x:alignment wrapText="1"/>
    </x:xf>
    <x:xf numFmtId="0" fontId="1" fillId="0" borderId="22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1" xfId="0" applyNumberFormat="1" applyFont="1" applyFill="1" applyBorder="1"/>
    <x:xf numFmtId="201" fontId="3" fillId="6" borderId="21" xfId="0" applyNumberFormat="1" applyFont="1" applyFill="1" applyBorder="1"/>
    <x:xf numFmtId="201" fontId="3" fillId="6" borderId="21" xfId="0" applyNumberFormat="1" applyFont="1" applyFill="1" applyBorder="1" applyAlignment="1">
      <x:alignment horizontal="center"/>
    </x:xf>
    <x:xf numFmtId="201" fontId="3" fillId="6" borderId="2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203" fontId="3" fillId="6" borderId="21" xfId="0" applyNumberFormat="1" applyFont="1" applyFill="1" applyBorder="1"/>
    <x:xf numFmtId="203" fontId="3" fillId="6" borderId="21" xfId="0" applyNumberFormat="1" applyFont="1" applyFill="1" applyBorder="1" applyAlignment="1">
      <x:alignment horizontal="center"/>
    </x:xf>
    <x:xf numFmtId="203" fontId="3" fillId="6" borderId="21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203" fontId="1" fillId="0" borderId="17" xfId="0" applyNumberFormat="1" applyFont="1" applyFill="1" applyBorder="1"/>
    <x:xf numFmtId="203" fontId="1" fillId="0" borderId="19" xfId="0" applyNumberFormat="1" applyFont="1" applyFill="1" applyBorder="1"/>
    <x:xf numFmtId="0" fontId="1" fillId="2" borderId="14" xfId="0" applyNumberFormat="1" applyFont="1" applyFill="1" applyBorder="1"/>
    <x:xf numFmtId="0" fontId="1" fillId="2" borderId="20" xfId="0" applyNumberFormat="1" applyFont="1" applyFill="1" applyBorder="1"/>
    <x:xf numFmtId="0" fontId="1" fillId="2" borderId="15" xfId="0" applyNumberFormat="1" applyFont="1" applyFill="1" applyBorder="1"/>
    <x:xf numFmtId="0" fontId="2" fillId="2" borderId="14" xfId="0" applyNumberFormat="1" applyFont="1" applyFill="1" applyBorder="1"/>
    <x:xf numFmtId="0" fontId="2" fillId="2" borderId="20" xfId="0" applyNumberFormat="1" applyFont="1" applyFill="1" applyBorder="1"/>
    <x:xf numFmtId="0" fontId="2" fillId="2" borderId="15" xfId="0" applyNumberFormat="1" applyFont="1" applyFill="1" applyBorder="1"/>
    <x:xf numFmtId="0" fontId="2" fillId="2" borderId="14" xfId="0" applyNumberFormat="1" applyFont="1" applyFill="1" applyBorder="1" applyAlignment="1">
      <x:alignment horizontal="center"/>
    </x:xf>
    <x:xf numFmtId="0" fontId="2" fillId="2" borderId="20" xfId="0" applyNumberFormat="1" applyFont="1" applyFill="1" applyBorder="1" applyAlignment="1">
      <x:alignment horizontal="center"/>
    </x:xf>
    <x:xf numFmtId="0" fontId="2" fillId="2" borderId="15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4f6538cd14544" /><Relationship Type="http://schemas.openxmlformats.org/officeDocument/2006/relationships/theme" Target="/xl/theme/theme1.xml" Id="R96e59bf73dbe46a6" /><Relationship Type="http://schemas.openxmlformats.org/officeDocument/2006/relationships/sharedStrings" Target="/xl/sharedStrings.xml" Id="R58ce97940e5f45ac" /><Relationship Type="http://schemas.openxmlformats.org/officeDocument/2006/relationships/worksheet" Target="/xl/worksheets/sheet1.xml" Id="Rbd71277d783b4d37" /><Relationship Type="http://schemas.openxmlformats.org/officeDocument/2006/relationships/worksheet" Target="/xl/worksheets/sheet2.xml" Id="R20668d722b2b417c" /><Relationship Type="http://schemas.openxmlformats.org/officeDocument/2006/relationships/worksheet" Target="/xl/worksheets/sheet3.xml" Id="Rce4312f8e5a142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04ccb6afac4384" /><Relationship Type="http://schemas.openxmlformats.org/officeDocument/2006/relationships/chart" Target="/xl/drawings/charts/chart2.xml" Id="R0ff448e8148f407d" /><Relationship Type="http://schemas.openxmlformats.org/officeDocument/2006/relationships/chart" Target="/xl/drawings/charts/chart3.xml" Id="Rd7c0a26fe5d54a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Good units vs planned units (last 14 days)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Good Units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'Dashboard Mockup'!$A$29:$A$42</c:f>
              <c:strCache>
                <c:ptCount val="0"/>
              </c:strCache>
            </c:strRef>
          </c:cat>
          <c:val>
            <c:numRef>
              <c:f>'Dashboard Mockup'!$B$29:$B$42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Planned Units</c:v>
          </c:tx>
          <c:spPr>
            <a:ln xmlns:a="http://schemas.openxmlformats.org/drawingml/2006/main" w="19050">
              <a:solidFill>
                <a:srgbClr val="667085"/>
              </a:solidFill>
              <a:prstDash val="dash"/>
            </a:ln>
          </c:spPr>
          <c:marker>
            <c:symbol val="none"/>
          </c:marker>
          <c:cat>
            <c:strRef>
              <c:f>'Dashboard Mockup'!$A$29:$A$42</c:f>
              <c:strCache>
                <c:ptCount val="0"/>
              </c:strCache>
            </c:strRef>
          </c:cat>
          <c:val>
            <c:numRef>
              <c:f>'Dashboard Mockup'!$C$29:$C$42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Downtime by primary reason (minutes)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Minutes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'Dashboard Mockup'!$E$29:$E$34</c:f>
              <c:strCache>
                <c:ptCount val="0"/>
              </c:strCache>
            </c:strRef>
          </c:cat>
          <c:val>
            <c:numRef>
              <c:f>'Dashboard Mockup'!$F$29:$F$34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OEE by shift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OEE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'Dashboard Mockup'!$H$29:$H$31</c:f>
              <c:strCache>
                <c:ptCount val="0"/>
              </c:strCache>
            </c:strRef>
          </c:cat>
          <c:val>
            <c:numRef>
              <c:f>'Dashboard Mockup'!$I$29:$I$31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04ccb6afac4384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f448e8148f407d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c0a26fe5d54a7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erosolProduction" displayName="AerosolProduction" ref="A1:W181" headerRowCount="1" totalsRowCount="0" totalsRowShown="0">
  <x:autoFilter ref="A1:W181"/>
  <x:tableColumns count="23">
    <x:tableColumn id="1" name="Date"/>
    <x:tableColumn id="2" name="Week"/>
    <x:tableColumn id="3" name="Shift"/>
    <x:tableColumn id="4" name="Production Line"/>
    <x:tableColumn id="5" name="Product Type"/>
    <x:tableColumn id="6" name="SKU"/>
    <x:tableColumn id="7" name="Planned Minutes"/>
    <x:tableColumn id="8" name="Downtime Minutes"/>
    <x:tableColumn id="9" name="Run Minutes"/>
    <x:tableColumn id="10" name="Ideal Cycle Seconds"/>
    <x:tableColumn id="11" name="Planned Units"/>
    <x:tableColumn id="12" name="Total Units"/>
    <x:tableColumn id="13" name="Good Units"/>
    <x:tableColumn id="14" name="Rejected Units"/>
    <x:tableColumn id="15" name="Availability"/>
    <x:tableColumn id="16" name="Performance"/>
    <x:tableColumn id="17" name="Quality"/>
    <x:tableColumn id="18" name="OEE"/>
    <x:tableColumn id="19" name="Primary Downtime Reason"/>
    <x:tableColumn id="20" name="Defect Category"/>
    <x:tableColumn id="21" name="Changeover Minutes"/>
    <x:tableColumn id="22" name="Energy kWh"/>
    <x:tableColumn id="23" name="Operator 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fa184cce7e48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3781b4f0b4e40d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" hidden="0" customWidth="1"/>
    <x:col min="5" max="5" width="21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3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>
      <x:c r="A2" s="42" t="str">
        <x:v>Aerosol production performance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1"/>
      <x:c r="P3" s="1"/>
      <x:c r="Q3" s="1"/>
      <x:c r="R3" s="1"/>
      <x:c r="S3" s="1"/>
      <x:c r="T3" s="1"/>
      <x:c r="U3" s="1"/>
      <x:c r="V3" s="1"/>
      <x:c r="W3" s="1"/>
    </x:row>
    <x:row r="4">
      <x:c r="A4" s="71" t="str">
        <x:v>Fictional 60-day dataset for Power BI practice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</x:row>
    <x:row r="6">
      <x:c r="A6" s="75" t="str">
        <x:v>Good Units</x:v>
      </x:c>
      <x:c r="B6" s="1"/>
      <x:c r="C6" s="1"/>
      <x:c r="D6" s="1"/>
      <x:c r="E6" s="85" t="str">
        <x:v>Output Attainment</x:v>
      </x:c>
      <x:c r="F6" s="1"/>
      <x:c r="G6" s="1"/>
      <x:c r="H6" s="1"/>
      <x:c r="I6" s="92" t="str">
        <x:v>Reject Rate</x:v>
      </x:c>
      <x:c r="J6" s="1"/>
      <x:c r="K6" s="1"/>
      <x:c r="L6" s="1"/>
      <x:c r="M6" s="96" t="str">
        <x:v>OEE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</x:row>
    <x:row r="7">
      <x:c r="A7" s="81" t="n">
        <x:f>SUM('Production Data'!M2:M181)</x:f>
        <x:v>3599267</x:v>
      </x:c>
      <x:c r="B7" s="1"/>
      <x:c r="C7" s="1"/>
      <x:c r="D7" s="1"/>
      <x:c r="E7" s="88" t="n">
        <x:f>SUM('Production Data'!M2:M181)/SUM('Production Data'!K2:K181)</x:f>
        <x:v>0.8664247405010881</x:v>
      </x:c>
      <x:c r="F7" s="1"/>
      <x:c r="G7" s="1"/>
      <x:c r="H7" s="1"/>
      <x:c r="I7" s="88" t="n">
        <x:f>SUM('Production Data'!N2:N181)/SUM('Production Data'!L2:L181)</x:f>
        <x:v>0.020737121567052628</x:v>
      </x:c>
      <x:c r="J7" s="1"/>
      <x:c r="K7" s="1"/>
      <x:c r="L7" s="1"/>
      <x:c r="M7" s="88" t="n">
        <x:f>(SUM('Production Data'!I2:I181)/SUM('Production Data'!G2:G181))*(SUMPRODUCT('Production Data'!L2:L181,'Production Data'!J2:J181)/60/SUM('Production Data'!I2:I181))*(SUM('Production Data'!M2:M181)/SUM('Production Data'!L2:L181))</x:f>
        <x:v>0.7976961805161115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>
      <x:c r="A28" s="105" t="str">
        <x:v>Date</x:v>
      </x:c>
      <x:c r="B28" s="106" t="str">
        <x:v>Good Units</x:v>
      </x:c>
      <x:c r="C28" s="107" t="str">
        <x:v>Planned Units</x:v>
      </x:c>
      <x:c r="D28" s="1"/>
      <x:c r="E28" s="105" t="str">
        <x:v>Downtime Reason</x:v>
      </x:c>
      <x:c r="F28" s="107" t="str">
        <x:v>Minutes</x:v>
      </x:c>
      <x:c r="G28" s="1"/>
      <x:c r="H28" s="105" t="str">
        <x:v>Shift</x:v>
      </x:c>
      <x:c r="I28" s="107" t="str">
        <x:v>OEE</x:v>
      </x:c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>
      <x:c r="A29" s="57" t="str">
        <x:v>16 Aug</x:v>
      </x:c>
      <x:c r="B29" s="58" t="n">
        <x:f>SUMIFS('Production Data'!$M$2:$M$181,'Production Data'!$A$2:$A$181,DATE(2026,8,16))</x:f>
        <x:v>60513</x:v>
      </x:c>
      <x:c r="C29" s="49" t="n">
        <x:f>SUMIFS('Production Data'!$K$2:$K$181,'Production Data'!$A$2:$A$181,DATE(2026,8,16))</x:f>
        <x:v>69236</x:v>
      </x:c>
      <x:c r="D29" s="1"/>
      <x:c r="E29" s="57" t="str">
        <x:v>Mechanical fault</x:v>
      </x:c>
      <x:c r="F29" s="49" t="n">
        <x:f>SUMIFS('Production Data'!$H$2:$H$181,'Production Data'!$S$2:$S$181,E29)</x:f>
        <x:v>1244</x:v>
      </x:c>
      <x:c r="G29" s="1"/>
      <x:c r="H29" s="57" t="str">
        <x:v>Day</x:v>
      </x:c>
      <x:c r="I29" s="97" t="n">
        <x:f>(SUMIFS('Production Data'!$I$2:$I$181,'Production Data'!$C$2:$C$181,H29)/SUMIFS('Production Data'!$G$2:$G$181,'Production Data'!$C$2:$C$181,H29))*(SUMPRODUCT(('Production Data'!$C$2:$C$181=H29)*'Production Data'!$L$2:$L$181*'Production Data'!$J$2:$J$181)/60/SUMIFS('Production Data'!$I$2:$I$181,'Production Data'!$C$2:$C$181,H29))*(SUMIFS('Production Data'!$M$2:$M$181,'Production Data'!$C$2:$C$181,H29)/SUMIFS('Production Data'!$L$2:$L$181,'Production Data'!$C$2:$C$181,H29))</x:f>
        <x:v>0.7973641786282486</x:v>
      </x:c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>
      <x:c r="A30" s="57" t="str">
        <x:v>17 Aug</x:v>
      </x:c>
      <x:c r="B30" s="58" t="n">
        <x:f>SUMIFS('Production Data'!$M$2:$M$181,'Production Data'!$A$2:$A$181,DATE(2026,8,17))</x:f>
        <x:v>58467</x:v>
      </x:c>
      <x:c r="C30" s="49" t="n">
        <x:f>SUMIFS('Production Data'!$K$2:$K$181,'Production Data'!$A$2:$A$181,DATE(2026,8,17))</x:f>
        <x:v>69236</x:v>
      </x:c>
      <x:c r="D30" s="1"/>
      <x:c r="E30" s="57" t="str">
        <x:v>Material shortage</x:v>
      </x:c>
      <x:c r="F30" s="49" t="n">
        <x:f>SUMIFS('Production Data'!$H$2:$H$181,'Production Data'!$S$2:$S$181,E30)</x:f>
        <x:v>1239</x:v>
      </x:c>
      <x:c r="G30" s="1"/>
      <x:c r="H30" s="57" t="str">
        <x:v>Late</x:v>
      </x:c>
      <x:c r="I30" s="97" t="n">
        <x:f>(SUMIFS('Production Data'!$I$2:$I$181,'Production Data'!$C$2:$C$181,H30)/SUMIFS('Production Data'!$G$2:$G$181,'Production Data'!$C$2:$C$181,H30))*(SUMPRODUCT(('Production Data'!$C$2:$C$181=H30)*'Production Data'!$L$2:$L$181*'Production Data'!$J$2:$J$181)/60/SUMIFS('Production Data'!$I$2:$I$181,'Production Data'!$C$2:$C$181,H30))*(SUMIFS('Production Data'!$M$2:$M$181,'Production Data'!$C$2:$C$181,H30)/SUMIFS('Production Data'!$L$2:$L$181,'Production Data'!$C$2:$C$181,H30))</x:f>
        <x:v>0.8004068306417057</x:v>
      </x:c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>
      <x:c r="A31" s="57" t="str">
        <x:v>18 Aug</x:v>
      </x:c>
      <x:c r="B31" s="58" t="n">
        <x:f>SUMIFS('Production Data'!$M$2:$M$181,'Production Data'!$A$2:$A$181,DATE(2026,8,18))</x:f>
        <x:v>56541</x:v>
      </x:c>
      <x:c r="C31" s="49" t="n">
        <x:f>SUMIFS('Production Data'!$K$2:$K$181,'Production Data'!$A$2:$A$181,DATE(2026,8,18))</x:f>
        <x:v>69236</x:v>
      </x:c>
      <x:c r="D31" s="1"/>
      <x:c r="E31" s="57" t="str">
        <x:v>Quality check</x:v>
      </x:c>
      <x:c r="F31" s="49" t="n">
        <x:f>SUMIFS('Production Data'!$H$2:$H$181,'Production Data'!$S$2:$S$181,E31)</x:f>
        <x:v>1186</x:v>
      </x:c>
      <x:c r="G31" s="1"/>
      <x:c r="H31" s="59" t="str">
        <x:v>Night</x:v>
      </x:c>
      <x:c r="I31" s="98" t="n">
        <x:f>(SUMIFS('Production Data'!$I$2:$I$181,'Production Data'!$C$2:$C$181,H31)/SUMIFS('Production Data'!$G$2:$G$181,'Production Data'!$C$2:$C$181,H31))*(SUMPRODUCT(('Production Data'!$C$2:$C$181=H31)*'Production Data'!$L$2:$L$181*'Production Data'!$J$2:$J$181)/60/SUMIFS('Production Data'!$I$2:$I$181,'Production Data'!$C$2:$C$181,H31))*(SUMIFS('Production Data'!$M$2:$M$181,'Production Data'!$C$2:$C$181,H31)/SUMIFS('Production Data'!$L$2:$L$181,'Production Data'!$C$2:$C$181,H31))</x:f>
        <x:v>0.7953164455973182</x:v>
      </x:c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>
      <x:c r="A32" s="57" t="str">
        <x:v>19 Aug</x:v>
      </x:c>
      <x:c r="B32" s="58" t="n">
        <x:f>SUMIFS('Production Data'!$M$2:$M$181,'Production Data'!$A$2:$A$181,DATE(2026,8,19))</x:f>
        <x:v>59648</x:v>
      </x:c>
      <x:c r="C32" s="49" t="n">
        <x:f>SUMIFS('Production Data'!$K$2:$K$181,'Production Data'!$A$2:$A$181,DATE(2026,8,19))</x:f>
        <x:v>69236</x:v>
      </x:c>
      <x:c r="D32" s="1"/>
      <x:c r="E32" s="57" t="str">
        <x:v>Changeover</x:v>
      </x:c>
      <x:c r="F32" s="49" t="n">
        <x:f>SUMIFS('Production Data'!$H$2:$H$181,'Production Data'!$S$2:$S$181,E32)</x:f>
        <x:v>1449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>
      <x:c r="A33" s="57" t="str">
        <x:v>20 Aug</x:v>
      </x:c>
      <x:c r="B33" s="58" t="n">
        <x:f>SUMIFS('Production Data'!$M$2:$M$181,'Production Data'!$A$2:$A$181,DATE(2026,8,20))</x:f>
        <x:v>59882</x:v>
      </x:c>
      <x:c r="C33" s="49" t="n">
        <x:f>SUMIFS('Production Data'!$K$2:$K$181,'Production Data'!$A$2:$A$181,DATE(2026,8,20))</x:f>
        <x:v>69236</x:v>
      </x:c>
      <x:c r="D33" s="1"/>
      <x:c r="E33" s="57" t="str">
        <x:v>Sensor fault</x:v>
      </x:c>
      <x:c r="F33" s="49" t="n">
        <x:f>SUMIFS('Production Data'!$H$2:$H$181,'Production Data'!$S$2:$S$181,E33)</x:f>
        <x:v>1524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>
      <x:c r="A34" s="57" t="str">
        <x:v>21 Aug</x:v>
      </x:c>
      <x:c r="B34" s="58" t="n">
        <x:f>SUMIFS('Production Data'!$M$2:$M$181,'Production Data'!$A$2:$A$181,DATE(2026,8,21))</x:f>
        <x:v>63068</x:v>
      </x:c>
      <x:c r="C34" s="49" t="n">
        <x:f>SUMIFS('Production Data'!$K$2:$K$181,'Production Data'!$A$2:$A$181,DATE(2026,8,21))</x:f>
        <x:v>69236</x:v>
      </x:c>
      <x:c r="D34" s="1"/>
      <x:c r="E34" s="59" t="str">
        <x:v>Cleaning</x:v>
      </x:c>
      <x:c r="F34" s="51" t="n">
        <x:f>SUMIFS('Production Data'!$H$2:$H$181,'Production Data'!$S$2:$S$181,E34)</x:f>
        <x:v>1487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>
      <x:c r="A35" s="57" t="str">
        <x:v>22 Aug</x:v>
      </x:c>
      <x:c r="B35" s="58" t="n">
        <x:f>SUMIFS('Production Data'!$M$2:$M$181,'Production Data'!$A$2:$A$181,DATE(2026,8,22))</x:f>
        <x:v>57105</x:v>
      </x:c>
      <x:c r="C35" s="49" t="n">
        <x:f>SUMIFS('Production Data'!$K$2:$K$181,'Production Data'!$A$2:$A$181,DATE(2026,8,22))</x:f>
        <x:v>69236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>
      <x:c r="A36" s="57" t="str">
        <x:v>23 Aug</x:v>
      </x:c>
      <x:c r="B36" s="58" t="n">
        <x:f>SUMIFS('Production Data'!$M$2:$M$181,'Production Data'!$A$2:$A$181,DATE(2026,8,23))</x:f>
        <x:v>62179</x:v>
      </x:c>
      <x:c r="C36" s="49" t="n">
        <x:f>SUMIFS('Production Data'!$K$2:$K$181,'Production Data'!$A$2:$A$181,DATE(2026,8,23))</x:f>
        <x:v>69236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>
      <x:c r="A37" s="57" t="str">
        <x:v>24 Aug</x:v>
      </x:c>
      <x:c r="B37" s="58" t="n">
        <x:f>SUMIFS('Production Data'!$M$2:$M$181,'Production Data'!$A$2:$A$181,DATE(2026,8,24))</x:f>
        <x:v>63568</x:v>
      </x:c>
      <x:c r="C37" s="49" t="n">
        <x:f>SUMIFS('Production Data'!$K$2:$K$181,'Production Data'!$A$2:$A$181,DATE(2026,8,24))</x:f>
        <x:v>69236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>
      <x:c r="A38" s="57" t="str">
        <x:v>25 Aug</x:v>
      </x:c>
      <x:c r="B38" s="58" t="n">
        <x:f>SUMIFS('Production Data'!$M$2:$M$181,'Production Data'!$A$2:$A$181,DATE(2026,8,25))</x:f>
        <x:v>59733</x:v>
      </x:c>
      <x:c r="C38" s="49" t="n">
        <x:f>SUMIFS('Production Data'!$K$2:$K$181,'Production Data'!$A$2:$A$181,DATE(2026,8,25))</x:f>
        <x:v>69236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>
      <x:c r="A39" s="57" t="str">
        <x:v>26 Aug</x:v>
      </x:c>
      <x:c r="B39" s="58" t="n">
        <x:f>SUMIFS('Production Data'!$M$2:$M$181,'Production Data'!$A$2:$A$181,DATE(2026,8,26))</x:f>
        <x:v>60213</x:v>
      </x:c>
      <x:c r="C39" s="49" t="n">
        <x:f>SUMIFS('Production Data'!$K$2:$K$181,'Production Data'!$A$2:$A$181,DATE(2026,8,26))</x:f>
        <x:v>69236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>
      <x:c r="A40" s="57" t="str">
        <x:v>27 Aug</x:v>
      </x:c>
      <x:c r="B40" s="58" t="n">
        <x:f>SUMIFS('Production Data'!$M$2:$M$181,'Production Data'!$A$2:$A$181,DATE(2026,8,27))</x:f>
        <x:v>61251</x:v>
      </x:c>
      <x:c r="C40" s="49" t="n">
        <x:f>SUMIFS('Production Data'!$K$2:$K$181,'Production Data'!$A$2:$A$181,DATE(2026,8,27))</x:f>
        <x:v>69236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>
      <x:c r="A41" s="57" t="str">
        <x:v>28 Aug</x:v>
      </x:c>
      <x:c r="B41" s="58" t="n">
        <x:f>SUMIFS('Production Data'!$M$2:$M$181,'Production Data'!$A$2:$A$181,DATE(2026,8,28))</x:f>
        <x:v>58841</x:v>
      </x:c>
      <x:c r="C41" s="49" t="n">
        <x:f>SUMIFS('Production Data'!$K$2:$K$181,'Production Data'!$A$2:$A$181,DATE(2026,8,28))</x:f>
        <x:v>69236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>
      <x:c r="A42" s="59" t="str">
        <x:v>29 Aug</x:v>
      </x:c>
      <x:c r="B42" s="60" t="n">
        <x:f>SUMIFS('Production Data'!$M$2:$M$181,'Production Data'!$A$2:$A$181,DATE(2026,8,29))</x:f>
        <x:v>58369</x:v>
      </x:c>
      <x:c r="C42" s="51" t="n">
        <x:f>SUMIFS('Production Data'!$K$2:$K$181,'Production Data'!$A$2:$A$181,DATE(2026,8,29))</x:f>
        <x:v>69236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 ht="24" customHeight="1">
      <x:c r="A44" s="110" t="str">
        <x:v>Use the Power BI Guide sheet to recreate this layout interactively. All data is fictional and designed only for learning and portfolio practice.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</x:row>
  </x:sheetData>
  <x:mergeCells>
    <x:mergeCell ref="A2:N2"/>
    <x:mergeCell ref="A4:N4"/>
    <x:mergeCell ref="A6:C6"/>
    <x:mergeCell ref="A7:C8"/>
    <x:mergeCell ref="E6:G6"/>
    <x:mergeCell ref="E7:G8"/>
    <x:mergeCell ref="I6:K6"/>
    <x:mergeCell ref="I7:K8"/>
    <x:mergeCell ref="M6:O6"/>
    <x:mergeCell ref="M7:O8"/>
    <x:mergeCell ref="A44:O45"/>
  </x:mergeCells>
  <x:pageMargins left="0.7" right="0.7" top="0.75" bottom="0.75" header="0.3" footer="0.3"/>
  <x:drawing xmlns:r="http://schemas.openxmlformats.org/officeDocument/2006/relationships" r:id="R2efa184cce7e4808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78" hidden="0" customWidth="1"/>
    <x:col min="3" max="3" width="20" hidden="0" customWidth="1"/>
    <x:col min="4" max="4" width="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>
      <x:c r="A2" s="42" t="str">
        <x:v>Aerosol production dashboard: Power BI build guide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43"/>
      <x:c r="B3" s="43"/>
      <x:c r="C3" s="43"/>
      <x:c r="D3" s="43"/>
      <x:c r="E3" s="43"/>
      <x:c r="F3" s="43"/>
      <x:c r="G3" s="43"/>
      <x:c r="H3" s="4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>
      <x:c r="A5" s="44" t="str">
        <x:v>Step</x:v>
      </x:c>
      <x:c r="B5" s="44" t="str">
        <x:v>Action in Power BI Desktop</x:v>
      </x:c>
      <x:c r="C5" s="1"/>
      <x:c r="D5" s="1"/>
      <x:c r="E5" s="66" t="str">
        <x:v>Suggested dashboard layout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</x:row>
    <x:row r="6" ht="15" hidden="0" customHeight="1">
      <x:c r="A6" s="46" t="n">
        <x:v>1</x:v>
      </x:c>
      <x:c r="B6" s="52" t="str">
        <x:v>Open Power BI Desktop. Select Home &gt; Get data &gt; Excel workbook.</x:v>
      </x:c>
      <x:c r="C6" s="1"/>
      <x:c r="D6" s="1"/>
      <x:c r="E6" s="55" t="str">
        <x:v>Top row</x:v>
      </x:c>
      <x:c r="F6" s="56" t="str">
        <x:v>4 KPI cards</x:v>
      </x:c>
      <x:c r="G6" s="56"/>
      <x:c r="H6" s="47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</x:row>
    <x:row r="7" ht="15" hidden="0" customHeight="1">
      <x:c r="A7" s="48" t="n">
        <x:v>2</x:v>
      </x:c>
      <x:c r="B7" s="53" t="str">
        <x:v>Choose this workbook, select AerosolProduction on the Production Data sheet, then select Load.</x:v>
      </x:c>
      <x:c r="C7" s="1"/>
      <x:c r="D7" s="1"/>
      <x:c r="E7" s="57" t="str">
        <x:v>Card 1</x:v>
      </x:c>
      <x:c r="F7" s="58" t="str">
        <x:v>Good Units</x:v>
      </x:c>
      <x:c r="G7" s="58"/>
      <x:c r="H7" s="49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</x:row>
    <x:row r="8" ht="15" hidden="0" customHeight="1">
      <x:c r="A8" s="48" t="n">
        <x:v>3</x:v>
      </x:c>
      <x:c r="B8" s="53" t="str">
        <x:v>In Data view, confirm Date is Date; units and minutes are Whole number; KPI fields are Decimal number.</x:v>
      </x:c>
      <x:c r="C8" s="1"/>
      <x:c r="D8" s="1"/>
      <x:c r="E8" s="57" t="str">
        <x:v>Card 2</x:v>
      </x:c>
      <x:c r="F8" s="58" t="str">
        <x:v>Output Attainment</x:v>
      </x:c>
      <x:c r="G8" s="58"/>
      <x:c r="H8" s="49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</x:row>
    <x:row r="9" ht="15" hidden="0" customHeight="1">
      <x:c r="A9" s="48" t="n">
        <x:v>4</x:v>
      </x:c>
      <x:c r="B9" s="53" t="str">
        <x:v>Select Model view. Create the Date Table shown below and link Date Table[Date] to AerosolProduction[Date].</x:v>
      </x:c>
      <x:c r="C9" s="1"/>
      <x:c r="D9" s="1"/>
      <x:c r="E9" s="57" t="str">
        <x:v>Card 3</x:v>
      </x:c>
      <x:c r="F9" s="58" t="str">
        <x:v>Reject Rate</x:v>
      </x:c>
      <x:c r="G9" s="58"/>
      <x:c r="H9" s="49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</x:row>
    <x:row r="10" ht="15" hidden="0" customHeight="1">
      <x:c r="A10" s="48" t="n">
        <x:v>5</x:v>
      </x:c>
      <x:c r="B10" s="53" t="str">
        <x:v>Select Modeling &gt; New measure. Add each DAX measure from the Measures section below.</x:v>
      </x:c>
      <x:c r="C10" s="1"/>
      <x:c r="D10" s="1"/>
      <x:c r="E10" s="57" t="str">
        <x:v>Card 4</x:v>
      </x:c>
      <x:c r="F10" s="58" t="str">
        <x:v>OEE</x:v>
      </x:c>
      <x:c r="G10" s="58"/>
      <x:c r="H10" s="49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 ht="15" hidden="0" customHeight="1">
      <x:c r="A11" s="48" t="n">
        <x:v>6</x:v>
      </x:c>
      <x:c r="B11" s="53" t="str">
        <x:v>Create four cards: Good Units, Output Attainment, Reject Rate and OEE.</x:v>
      </x:c>
      <x:c r="C11" s="1"/>
      <x:c r="D11" s="1"/>
      <x:c r="E11" s="57" t="str">
        <x:v>Middle left</x:v>
      </x:c>
      <x:c r="F11" s="58" t="str">
        <x:v>Good vs Planned trend</x:v>
      </x:c>
      <x:c r="G11" s="58"/>
      <x:c r="H11" s="49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 ht="15" hidden="0" customHeight="1">
      <x:c r="A12" s="48" t="n">
        <x:v>7</x:v>
      </x:c>
      <x:c r="B12" s="53" t="str">
        <x:v>Create a line chart: Date on X-axis; Good Units and Planned Units on Y-axis.</x:v>
      </x:c>
      <x:c r="C12" s="1"/>
      <x:c r="D12" s="1"/>
      <x:c r="E12" s="57" t="str">
        <x:v>Middle right</x:v>
      </x:c>
      <x:c r="F12" s="58" t="str">
        <x:v>Downtime by reason</x:v>
      </x:c>
      <x:c r="G12" s="58"/>
      <x:c r="H12" s="49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 ht="15" hidden="0" customHeight="1">
      <x:c r="A13" s="48" t="n">
        <x:v>8</x:v>
      </x:c>
      <x:c r="B13" s="53" t="str">
        <x:v>Create a bar chart: Primary Downtime Reason on Y-axis; Downtime Minutes on X-axis. Sort descending.</x:v>
      </x:c>
      <x:c r="C13" s="1"/>
      <x:c r="D13" s="1"/>
      <x:c r="E13" s="57" t="str">
        <x:v>Bottom left</x:v>
      </x:c>
      <x:c r="F13" s="58" t="str">
        <x:v>OEE by shift</x:v>
      </x:c>
      <x:c r="G13" s="58"/>
      <x:c r="H13" s="49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 ht="15" hidden="0" customHeight="1">
      <x:c r="A14" s="48" t="n">
        <x:v>9</x:v>
      </x:c>
      <x:c r="B14" s="53" t="str">
        <x:v>Create a clustered column chart: Shift on X-axis; OEE on Y-axis.</x:v>
      </x:c>
      <x:c r="C14" s="1"/>
      <x:c r="D14" s="1"/>
      <x:c r="E14" s="59" t="str">
        <x:v>Side panel</x:v>
      </x:c>
      <x:c r="F14" s="60" t="str">
        <x:v>Date, Shift, Line, Product slicers</x:v>
      </x:c>
      <x:c r="G14" s="60"/>
      <x:c r="H14" s="5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 ht="15" hidden="0" customHeight="1">
      <x:c r="A15" s="48" t="n">
        <x:v>10</x:v>
      </x:c>
      <x:c r="B15" s="53" t="str">
        <x:v>Add slicers for Date, Shift, Production Line and Product Type.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 ht="24" hidden="0" customHeight="1">
      <x:c r="A16" s="48" t="n">
        <x:v>11</x:v>
      </x:c>
      <x:c r="B16" s="53" t="str">
        <x:v>Format percentages with one decimal place. Use green for strong performance, amber for caution and red for exceptions.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</x:row>
    <x:row r="17" ht="15" hidden="0" customHeight="1">
      <x:c r="A17" s="50" t="n">
        <x:v>12</x:v>
      </x:c>
      <x:c r="B17" s="54" t="str">
        <x:v>Test every slicer and confirm all cards and charts respond correctly.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</x:row>
    <x:row r="19">
      <x:c r="A19" s="44" t="str">
        <x:v>Measure</x:v>
      </x:c>
      <x:c r="B19" s="44" t="str">
        <x:v>DAX formula</x:v>
      </x:c>
      <x:c r="C19" s="44" t="str">
        <x:v>Format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</x:row>
    <x:row r="20" ht="15" hidden="0" customHeight="1">
      <x:c r="A20" s="55" t="str">
        <x:v>Planned Units</x:v>
      </x:c>
      <x:c r="B20" s="61" t="str">
        <x:v>Planned Units = SUM(AerosolProduction[Planned Units])</x:v>
      </x:c>
      <x:c r="C20" s="47" t="str">
        <x:v>Whole number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</x:row>
    <x:row r="21" ht="15" hidden="0" customHeight="1">
      <x:c r="A21" s="57" t="str">
        <x:v>Total Units</x:v>
      </x:c>
      <x:c r="B21" s="62" t="str">
        <x:v>Total Units = SUM(AerosolProduction[Total Units])</x:v>
      </x:c>
      <x:c r="C21" s="49" t="str">
        <x:v>Whole number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 ht="15" hidden="0" customHeight="1">
      <x:c r="A22" s="57" t="str">
        <x:v>Good Units</x:v>
      </x:c>
      <x:c r="B22" s="62" t="str">
        <x:v>Good Units = SUM(AerosolProduction[Good Units])</x:v>
      </x:c>
      <x:c r="C22" s="49" t="str">
        <x:v>Whole number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 ht="15" hidden="0" customHeight="1">
      <x:c r="A23" s="57" t="str">
        <x:v>Rejected Units</x:v>
      </x:c>
      <x:c r="B23" s="62" t="str">
        <x:v>Rejected Units = SUM(AerosolProduction[Rejected Units])</x:v>
      </x:c>
      <x:c r="C23" s="49" t="str">
        <x:v>Whole number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 ht="15" hidden="0" customHeight="1">
      <x:c r="A24" s="57" t="str">
        <x:v>Downtime Minutes</x:v>
      </x:c>
      <x:c r="B24" s="62" t="str">
        <x:v>Downtime Minutes = SUM(AerosolProduction[Downtime Minutes])</x:v>
      </x:c>
      <x:c r="C24" s="49" t="str">
        <x:v>Whole number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 ht="15" hidden="0" customHeight="1">
      <x:c r="A25" s="57" t="str">
        <x:v>Run Minutes</x:v>
      </x:c>
      <x:c r="B25" s="62" t="str">
        <x:v>Run Minutes = SUM(AerosolProduction[Run Minutes])</x:v>
      </x:c>
      <x:c r="C25" s="49" t="str">
        <x:v>Whole number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 ht="15" hidden="0" customHeight="1">
      <x:c r="A26" s="57" t="str">
        <x:v>Availability</x:v>
      </x:c>
      <x:c r="B26" s="62" t="str">
        <x:v>Availability = DIVIDE([Run Minutes], SUM(AerosolProduction[Planned Minutes]))</x:v>
      </x:c>
      <x:c r="C26" s="49" t="str">
        <x:v>Percentage, 1 decimal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 ht="24" hidden="0" customHeight="1">
      <x:c r="A27" s="57" t="str">
        <x:v>Theoretical Run Minutes</x:v>
      </x:c>
      <x:c r="B27" s="62" t="str">
        <x:v>Theoretical Run Minutes = SUMX(AerosolProduction, AerosolProduction[Total Units] * AerosolProduction[Ideal Cycle Seconds] / 60)</x:v>
      </x:c>
      <x:c r="C27" s="49" t="str">
        <x:v>Decimal, 1 place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 ht="15" hidden="0" customHeight="1">
      <x:c r="A28" s="57" t="str">
        <x:v>Performance</x:v>
      </x:c>
      <x:c r="B28" s="62" t="str">
        <x:v>Performance = DIVIDE([Theoretical Run Minutes], [Run Minutes])</x:v>
      </x:c>
      <x:c r="C28" s="49" t="str">
        <x:v>Percentage, 1 decimal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 ht="15" hidden="0" customHeight="1">
      <x:c r="A29" s="57" t="str">
        <x:v>Quality</x:v>
      </x:c>
      <x:c r="B29" s="62" t="str">
        <x:v>Quality = DIVIDE([Good Units], [Total Units])</x:v>
      </x:c>
      <x:c r="C29" s="49" t="str">
        <x:v>Percentage, 1 decimal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 ht="15" hidden="0" customHeight="1">
      <x:c r="A30" s="57" t="str">
        <x:v>OEE</x:v>
      </x:c>
      <x:c r="B30" s="62" t="str">
        <x:v>OEE = [Availability] * [Performance] * [Quality]</x:v>
      </x:c>
      <x:c r="C30" s="49" t="str">
        <x:v>Percentage, 1 decimal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 ht="15" hidden="0" customHeight="1">
      <x:c r="A31" s="57" t="str">
        <x:v>Reject Rate</x:v>
      </x:c>
      <x:c r="B31" s="62" t="str">
        <x:v>Reject Rate = DIVIDE([Rejected Units], [Total Units])</x:v>
      </x:c>
      <x:c r="C31" s="49" t="str">
        <x:v>Percentage, 1 decimal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 ht="15" hidden="0" customHeight="1">
      <x:c r="A32" s="59" t="str">
        <x:v>Output Attainment</x:v>
      </x:c>
      <x:c r="B32" s="63" t="str">
        <x:v>Output Attainment = DIVIDE([Good Units], [Planned Units])</x:v>
      </x:c>
      <x:c r="C32" s="51" t="str">
        <x:v>Percentage, 1 decimal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>
      <x:c r="A35" s="44" t="str">
        <x:v>Date-table item</x:v>
      </x:c>
      <x:c r="B35" s="44" t="str">
        <x:v>DAX formula</x:v>
      </x:c>
      <x:c r="C35" s="44" t="str">
        <x:v>Use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 ht="15" hidden="0" customHeight="1">
      <x:c r="A36" s="55" t="str">
        <x:v>Date Table</x:v>
      </x:c>
      <x:c r="B36" s="61" t="str">
        <x:v>Date Table = CALENDAR(MIN(AerosolProduction[Date]), MAX(AerosolProduction[Date]))</x:v>
      </x:c>
      <x:c r="C36" s="47" t="str">
        <x:v>Create as New table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 ht="15" hidden="0" customHeight="1">
      <x:c r="A37" s="57" t="str">
        <x:v>Month</x:v>
      </x:c>
      <x:c r="B37" s="62" t="str">
        <x:v>Month = FORMAT('Date Table'[Date], "MMM yyyy")</x:v>
      </x:c>
      <x:c r="C37" s="49" t="str">
        <x:v>Create as calculated column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 ht="15" hidden="0" customHeight="1">
      <x:c r="A38" s="59" t="str">
        <x:v>Month Sort</x:v>
      </x:c>
      <x:c r="B38" s="63" t="str">
        <x:v>Month Sort = YEAR('Date Table'[Date]) * 100 + MONTH('Date Table'[Date])</x:v>
      </x:c>
      <x:c r="C38" s="51" t="str">
        <x:v>Sort Month by this column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 ht="28" customHeight="1">
      <x:c r="A40" s="70" t="str">
        <x:v>Portfolio note: all records in this workbook are fictional practice data. Never upload confidential employer or customer data into a public AI service or portfolio.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 ht="2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 ht="2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</x:row>
  </x:sheetData>
  <x:mergeCells>
    <x:mergeCell ref="A2:H2"/>
    <x:mergeCell ref="E5:H5"/>
    <x:mergeCell ref="A40:H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8" hidden="0" customWidth="1"/>
    <x:col min="3" max="3" width="10" hidden="0" customWidth="1"/>
    <x:col min="4" max="4" width="15" hidden="0" customWidth="1"/>
    <x:col min="5" max="5" width="15" hidden="0" customWidth="1"/>
    <x:col min="6" max="6" width="12" hidden="0" customWidth="1"/>
    <x:col min="7" max="7" width="16" hidden="0" customWidth="1"/>
    <x:col min="8" max="8" width="17" hidden="0" customWidth="1"/>
    <x:col min="9" max="9" width="13" hidden="0" customWidth="1"/>
    <x:col min="10" max="10" width="18" hidden="0" customWidth="1"/>
    <x:col min="11" max="11" width="14" hidden="0" customWidth="1"/>
    <x:col min="12" max="12" width="13" hidden="0" customWidth="1"/>
    <x:col min="13" max="13" width="13" hidden="0" customWidth="1"/>
    <x:col min="14" max="14" width="15" hidden="0" customWidth="1"/>
    <x:col min="15" max="15" width="13" hidden="0" customWidth="1"/>
    <x:col min="16" max="16" width="13" hidden="0" customWidth="1"/>
    <x:col min="17" max="17" width="11" hidden="0" customWidth="1"/>
    <x:col min="18" max="18" width="11" hidden="0" customWidth="1"/>
    <x:col min="19" max="19" width="24" hidden="0" customWidth="1"/>
    <x:col min="20" max="20" width="18" hidden="0" customWidth="1"/>
    <x:col min="21" max="21" width="18" hidden="0" customWidth="1"/>
    <x:col min="22" max="22" width="12" hidden="0" customWidth="1"/>
    <x:col min="23" max="23" width="15" hidden="0" customWidth="1"/>
  </x:cols>
  <x:sheetData>
    <x:row r="1" ht="34" customHeight="1">
      <x:c r="A1" s="13" t="str">
        <x:v>Date</x:v>
      </x:c>
      <x:c r="B1" s="14" t="str">
        <x:v>Week</x:v>
      </x:c>
      <x:c r="C1" s="14" t="str">
        <x:v>Shift</x:v>
      </x:c>
      <x:c r="D1" s="14" t="str">
        <x:v>Production Line</x:v>
      </x:c>
      <x:c r="E1" s="14" t="str">
        <x:v>Product Type</x:v>
      </x:c>
      <x:c r="F1" s="14" t="str">
        <x:v>SKU</x:v>
      </x:c>
      <x:c r="G1" s="14" t="str">
        <x:v>Planned Minutes</x:v>
      </x:c>
      <x:c r="H1" s="14" t="str">
        <x:v>Downtime Minutes</x:v>
      </x:c>
      <x:c r="I1" s="14" t="str">
        <x:v>Run Minutes</x:v>
      </x:c>
      <x:c r="J1" s="14" t="str">
        <x:v>Ideal Cycle Seconds</x:v>
      </x:c>
      <x:c r="K1" s="14" t="str">
        <x:v>Planned Units</x:v>
      </x:c>
      <x:c r="L1" s="14" t="str">
        <x:v>Total Units</x:v>
      </x:c>
      <x:c r="M1" s="14" t="str">
        <x:v>Good Units</x:v>
      </x:c>
      <x:c r="N1" s="14" t="str">
        <x:v>Rejected Units</x:v>
      </x:c>
      <x:c r="O1" s="14" t="str">
        <x:v>Availability</x:v>
      </x:c>
      <x:c r="P1" s="14" t="str">
        <x:v>Performance</x:v>
      </x:c>
      <x:c r="Q1" s="14" t="str">
        <x:v>Quality</x:v>
      </x:c>
      <x:c r="R1" s="14" t="str">
        <x:v>OEE</x:v>
      </x:c>
      <x:c r="S1" s="14" t="str">
        <x:v>Primary Downtime Reason</x:v>
      </x:c>
      <x:c r="T1" s="14" t="str">
        <x:v>Defect Category</x:v>
      </x:c>
      <x:c r="U1" s="14" t="str">
        <x:v>Changeover Minutes</x:v>
      </x:c>
      <x:c r="V1" s="14" t="str">
        <x:v>Energy kWh</x:v>
      </x:c>
      <x:c r="W1" s="15" t="str">
        <x:v>Operator Hours</x:v>
      </x:c>
    </x:row>
    <x:row r="2">
      <x:c r="A2" s="21" t="n">
        <x:v>46204</x:v>
      </x:c>
      <x:c r="B2" s="22" t="str">
        <x:v>W01</x:v>
      </x:c>
      <x:c r="C2" s="22" t="str">
        <x:v>Day</x:v>
      </x:c>
      <x:c r="D2" s="22" t="str">
        <x:v>Line A</x:v>
      </x:c>
      <x:c r="E2" s="22" t="str">
        <x:v>Valve</x:v>
      </x:c>
      <x:c r="F2" s="22" t="str">
        <x:v>VAL-100</x:v>
      </x:c>
      <x:c r="G2" s="23" t="n">
        <x:v>450</x:v>
      </x:c>
      <x:c r="H2" s="23" t="n">
        <x:v>56</x:v>
      </x:c>
      <x:c r="I2" s="23" t="n">
        <x:v>394</x:v>
      </x:c>
      <x:c r="J2" s="24" t="n">
        <x:v>0.96</x:v>
      </x:c>
      <x:c r="K2" s="23" t="n">
        <x:v>25875</x:v>
      </x:c>
      <x:c r="L2" s="23" t="n">
        <x:v>21769</x:v>
      </x:c>
      <x:c r="M2" s="23" t="n">
        <x:v>21201</x:v>
      </x:c>
      <x:c r="N2" s="23" t="n">
        <x:v>568</x:v>
      </x:c>
      <x:c r="O2" s="25" t="n">
        <x:v>0.8755555555555555</x:v>
      </x:c>
      <x:c r="P2" s="25" t="n">
        <x:v>0.8840203045685279</x:v>
      </x:c>
      <x:c r="Q2" s="25" t="n">
        <x:v>0.9739078506132574</x:v>
      </x:c>
      <x:c r="R2" s="25" t="n">
        <x:v>0.7538133333333332</x:v>
      </x:c>
      <x:c r="S2" s="22" t="str">
        <x:v>Changeover</x:v>
      </x:c>
      <x:c r="T2" s="22" t="str">
        <x:v>Dimension</x:v>
      </x:c>
      <x:c r="U2" s="23" t="n">
        <x:v>26</x:v>
      </x:c>
      <x:c r="V2" s="26" t="n">
        <x:v>149.4</x:v>
      </x:c>
      <x:c r="W2" s="27" t="n">
        <x:v>6.6</x:v>
      </x:c>
    </x:row>
    <x:row r="3">
      <x:c r="A3" s="28" t="n">
        <x:v>46204</x:v>
      </x:c>
      <x:c r="B3" s="29" t="str">
        <x:v>W01</x:v>
      </x:c>
      <x:c r="C3" s="29" t="str">
        <x:v>Late</x:v>
      </x:c>
      <x:c r="D3" s="29" t="str">
        <x:v>Line B</x:v>
      </x:c>
      <x:c r="E3" s="29" t="str">
        <x:v>Actuator</x:v>
      </x:c>
      <x:c r="F3" s="29" t="str">
        <x:v>ACT-220</x:v>
      </x:c>
      <x:c r="G3" s="30" t="n">
        <x:v>450</x:v>
      </x:c>
      <x:c r="H3" s="30" t="n">
        <x:v>39</x:v>
      </x:c>
      <x:c r="I3" s="30" t="n">
        <x:v>411</x:v>
      </x:c>
      <x:c r="J3" s="31" t="n">
        <x:v>1.08</x:v>
      </x:c>
      <x:c r="K3" s="30" t="n">
        <x:v>23000</x:v>
      </x:c>
      <x:c r="L3" s="30" t="n">
        <x:v>21837</x:v>
      </x:c>
      <x:c r="M3" s="30" t="n">
        <x:v>21140</x:v>
      </x:c>
      <x:c r="N3" s="30" t="n">
        <x:v>697</x:v>
      </x:c>
      <x:c r="O3" s="32" t="n">
        <x:v>0.9133333333333333</x:v>
      </x:c>
      <x:c r="P3" s="32" t="n">
        <x:v>0.9563649635036497</x:v>
      </x:c>
      <x:c r="Q3" s="32" t="n">
        <x:v>0.968081696203691</x:v>
      </x:c>
      <x:c r="R3" s="32" t="n">
        <x:v>0.8456000000000001</x:v>
      </x:c>
      <x:c r="S3" s="29" t="str">
        <x:v>Changeover</x:v>
      </x:c>
      <x:c r="T3" s="29" t="str">
        <x:v>Cosmetic</x:v>
      </x:c>
      <x:c r="U3" s="30" t="n">
        <x:v>25</x:v>
      </x:c>
      <x:c r="V3" s="33" t="n">
        <x:v>146.6</x:v>
      </x:c>
      <x:c r="W3" s="34" t="n">
        <x:v>6.9</x:v>
      </x:c>
    </x:row>
    <x:row r="4">
      <x:c r="A4" s="28" t="n">
        <x:v>46204</x:v>
      </x:c>
      <x:c r="B4" s="29" t="str">
        <x:v>W01</x:v>
      </x:c>
      <x:c r="C4" s="29" t="str">
        <x:v>Night</x:v>
      </x:c>
      <x:c r="D4" s="29" t="str">
        <x:v>Line C</x:v>
      </x:c>
      <x:c r="E4" s="29" t="str">
        <x:v>Barrier Pack</x:v>
      </x:c>
      <x:c r="F4" s="29" t="str">
        <x:v>BPK-310</x:v>
      </x:c>
      <x:c r="G4" s="30" t="n">
        <x:v>450</x:v>
      </x:c>
      <x:c r="H4" s="30" t="n">
        <x:v>42</x:v>
      </x:c>
      <x:c r="I4" s="30" t="n">
        <x:v>408</x:v>
      </x:c>
      <x:c r="J4" s="31" t="n">
        <x:v>1.22</x:v>
      </x:c>
      <x:c r="K4" s="30" t="n">
        <x:v>20361</x:v>
      </x:c>
      <x:c r="L4" s="30" t="n">
        <x:v>19296</x:v>
      </x:c>
      <x:c r="M4" s="30" t="n">
        <x:v>19063</x:v>
      </x:c>
      <x:c r="N4" s="30" t="n">
        <x:v>233</x:v>
      </x:c>
      <x:c r="O4" s="32" t="n">
        <x:v>0.9066666666666666</x:v>
      </x:c>
      <x:c r="P4" s="32" t="n">
        <x:v>0.9616470588235294</x:v>
      </x:c>
      <x:c r="Q4" s="32" t="n">
        <x:v>0.9879249585406302</x:v>
      </x:c>
      <x:c r="R4" s="32" t="n">
        <x:v>0.8613651851851852</x:v>
      </x:c>
      <x:c r="S4" s="29" t="str">
        <x:v>Material shortage</x:v>
      </x:c>
      <x:c r="T4" s="29" t="str">
        <x:v>None</x:v>
      </x:c>
      <x:c r="U4" s="30" t="n">
        <x:v>16</x:v>
      </x:c>
      <x:c r="V4" s="33" t="n">
        <x:v>203.6</x:v>
      </x:c>
      <x:c r="W4" s="34" t="n">
        <x:v>6.8</x:v>
      </x:c>
    </x:row>
    <x:row r="5">
      <x:c r="A5" s="28" t="n">
        <x:v>46205</x:v>
      </x:c>
      <x:c r="B5" s="29" t="str">
        <x:v>W01</x:v>
      </x:c>
      <x:c r="C5" s="29" t="str">
        <x:v>Day</x:v>
      </x:c>
      <x:c r="D5" s="29" t="str">
        <x:v>Line B</x:v>
      </x:c>
      <x:c r="E5" s="29" t="str">
        <x:v>Actuator</x:v>
      </x:c>
      <x:c r="F5" s="29" t="str">
        <x:v>ACT-220</x:v>
      </x:c>
      <x:c r="G5" s="30" t="n">
        <x:v>450</x:v>
      </x:c>
      <x:c r="H5" s="30" t="n">
        <x:v>63</x:v>
      </x:c>
      <x:c r="I5" s="30" t="n">
        <x:v>387</x:v>
      </x:c>
      <x:c r="J5" s="31" t="n">
        <x:v>1.08</x:v>
      </x:c>
      <x:c r="K5" s="30" t="n">
        <x:v>23000</x:v>
      </x:c>
      <x:c r="L5" s="30" t="n">
        <x:v>19333</x:v>
      </x:c>
      <x:c r="M5" s="30" t="n">
        <x:v>18914</x:v>
      </x:c>
      <x:c r="N5" s="30" t="n">
        <x:v>419</x:v>
      </x:c>
      <x:c r="O5" s="32" t="n">
        <x:v>0.86</x:v>
      </x:c>
      <x:c r="P5" s="32" t="n">
        <x:v>0.8992093023255815</x:v>
      </x:c>
      <x:c r="Q5" s="32" t="n">
        <x:v>0.9783272125381473</x:v>
      </x:c>
      <x:c r="R5" s="32" t="n">
        <x:v>0.7565600000000001</x:v>
      </x:c>
      <x:c r="S5" s="29" t="str">
        <x:v>Mechanical fault</x:v>
      </x:c>
      <x:c r="T5" s="29" t="str">
        <x:v>Assembly</x:v>
      </x:c>
      <x:c r="U5" s="30" t="n">
        <x:v>29</x:v>
      </x:c>
      <x:c r="V5" s="33" t="n">
        <x:v>150.4</x:v>
      </x:c>
      <x:c r="W5" s="34" t="n">
        <x:v>6.5</x:v>
      </x:c>
    </x:row>
    <x:row r="6">
      <x:c r="A6" s="28" t="n">
        <x:v>46205</x:v>
      </x:c>
      <x:c r="B6" s="29" t="str">
        <x:v>W01</x:v>
      </x:c>
      <x:c r="C6" s="29" t="str">
        <x:v>Late</x:v>
      </x:c>
      <x:c r="D6" s="29" t="str">
        <x:v>Line C</x:v>
      </x:c>
      <x:c r="E6" s="29" t="str">
        <x:v>Barrier Pack</x:v>
      </x:c>
      <x:c r="F6" s="29" t="str">
        <x:v>BPK-310</x:v>
      </x:c>
      <x:c r="G6" s="30" t="n">
        <x:v>450</x:v>
      </x:c>
      <x:c r="H6" s="30" t="n">
        <x:v>23</x:v>
      </x:c>
      <x:c r="I6" s="30" t="n">
        <x:v>427</x:v>
      </x:c>
      <x:c r="J6" s="31" t="n">
        <x:v>1.22</x:v>
      </x:c>
      <x:c r="K6" s="30" t="n">
        <x:v>20361</x:v>
      </x:c>
      <x:c r="L6" s="30" t="n">
        <x:v>19932</x:v>
      </x:c>
      <x:c r="M6" s="30" t="n">
        <x:v>19322</x:v>
      </x:c>
      <x:c r="N6" s="30" t="n">
        <x:v>610</x:v>
      </x:c>
      <x:c r="O6" s="32" t="n">
        <x:v>0.9488888888888889</x:v>
      </x:c>
      <x:c r="P6" s="32" t="n">
        <x:v>0.9491428571428572</x:v>
      </x:c>
      <x:c r="Q6" s="32" t="n">
        <x:v>0.9693959462171383</x:v>
      </x:c>
      <x:c r="R6" s="32" t="n">
        <x:v>0.8730681481481483</x:v>
      </x:c>
      <x:c r="S6" s="29" t="str">
        <x:v>Mechanical fault</x:v>
      </x:c>
      <x:c r="T6" s="29" t="str">
        <x:v>Seal</x:v>
      </x:c>
      <x:c r="U6" s="30" t="n">
        <x:v>13</x:v>
      </x:c>
      <x:c r="V6" s="33" t="n">
        <x:v>176.8</x:v>
      </x:c>
      <x:c r="W6" s="34" t="n">
        <x:v>7.1</x:v>
      </x:c>
    </x:row>
    <x:row r="7">
      <x:c r="A7" s="28" t="n">
        <x:v>46205</x:v>
      </x:c>
      <x:c r="B7" s="29" t="str">
        <x:v>W01</x:v>
      </x:c>
      <x:c r="C7" s="29" t="str">
        <x:v>Night</x:v>
      </x:c>
      <x:c r="D7" s="29" t="str">
        <x:v>Line A</x:v>
      </x:c>
      <x:c r="E7" s="29" t="str">
        <x:v>Valve</x:v>
      </x:c>
      <x:c r="F7" s="29" t="str">
        <x:v>VAL-100</x:v>
      </x:c>
      <x:c r="G7" s="30" t="n">
        <x:v>450</x:v>
      </x:c>
      <x:c r="H7" s="30" t="n">
        <x:v>39</x:v>
      </x:c>
      <x:c r="I7" s="30" t="n">
        <x:v>411</x:v>
      </x:c>
      <x:c r="J7" s="31" t="n">
        <x:v>0.96</x:v>
      </x:c>
      <x:c r="K7" s="30" t="n">
        <x:v>25875</x:v>
      </x:c>
      <x:c r="L7" s="30" t="n">
        <x:v>23797</x:v>
      </x:c>
      <x:c r="M7" s="30" t="n">
        <x:v>23096</x:v>
      </x:c>
      <x:c r="N7" s="30" t="n">
        <x:v>701</x:v>
      </x:c>
      <x:c r="O7" s="32" t="n">
        <x:v>0.9133333333333333</x:v>
      </x:c>
      <x:c r="P7" s="32" t="n">
        <x:v>0.9264038929440389</x:v>
      </x:c>
      <x:c r="Q7" s="32" t="n">
        <x:v>0.9705425053578182</x:v>
      </x:c>
      <x:c r="R7" s="32" t="n">
        <x:v>0.821191111111111</x:v>
      </x:c>
      <x:c r="S7" s="29" t="str">
        <x:v>Sensor fault</x:v>
      </x:c>
      <x:c r="T7" s="29" t="str">
        <x:v>Assembly</x:v>
      </x:c>
      <x:c r="U7" s="30" t="n">
        <x:v>28</x:v>
      </x:c>
      <x:c r="V7" s="33" t="n">
        <x:v>218.1</x:v>
      </x:c>
      <x:c r="W7" s="34" t="n">
        <x:v>6.9</x:v>
      </x:c>
    </x:row>
    <x:row r="8">
      <x:c r="A8" s="28" t="n">
        <x:v>46206</x:v>
      </x:c>
      <x:c r="B8" s="29" t="str">
        <x:v>W01</x:v>
      </x:c>
      <x:c r="C8" s="29" t="str">
        <x:v>Day</x:v>
      </x:c>
      <x:c r="D8" s="29" t="str">
        <x:v>Line C</x:v>
      </x:c>
      <x:c r="E8" s="29" t="str">
        <x:v>Barrier Pack</x:v>
      </x:c>
      <x:c r="F8" s="29" t="str">
        <x:v>BPK-310</x:v>
      </x:c>
      <x:c r="G8" s="30" t="n">
        <x:v>450</x:v>
      </x:c>
      <x:c r="H8" s="30" t="n">
        <x:v>59</x:v>
      </x:c>
      <x:c r="I8" s="30" t="n">
        <x:v>391</x:v>
      </x:c>
      <x:c r="J8" s="31" t="n">
        <x:v>1.22</x:v>
      </x:c>
      <x:c r="K8" s="30" t="n">
        <x:v>20361</x:v>
      </x:c>
      <x:c r="L8" s="30" t="n">
        <x:v>17538</x:v>
      </x:c>
      <x:c r="M8" s="30" t="n">
        <x:v>17301</x:v>
      </x:c>
      <x:c r="N8" s="30" t="n">
        <x:v>237</x:v>
      </x:c>
      <x:c r="O8" s="32" t="n">
        <x:v>0.8688888888888889</x:v>
      </x:c>
      <x:c r="P8" s="32" t="n">
        <x:v>0.9120358056265985</x:v>
      </x:c>
      <x:c r="Q8" s="32" t="n">
        <x:v>0.9864864864864865</x:v>
      </x:c>
      <x:c r="R8" s="32" t="n">
        <x:v>0.7817488888888889</x:v>
      </x:c>
      <x:c r="S8" s="29" t="str">
        <x:v>Changeover</x:v>
      </x:c>
      <x:c r="T8" s="29" t="str">
        <x:v>None</x:v>
      </x:c>
      <x:c r="U8" s="30" t="n">
        <x:v>17</x:v>
      </x:c>
      <x:c r="V8" s="33" t="n">
        <x:v>195.3</x:v>
      </x:c>
      <x:c r="W8" s="34" t="n">
        <x:v>6.5</x:v>
      </x:c>
    </x:row>
    <x:row r="9">
      <x:c r="A9" s="28" t="n">
        <x:v>46206</x:v>
      </x:c>
      <x:c r="B9" s="29" t="str">
        <x:v>W01</x:v>
      </x:c>
      <x:c r="C9" s="29" t="str">
        <x:v>Late</x:v>
      </x:c>
      <x:c r="D9" s="29" t="str">
        <x:v>Line A</x:v>
      </x:c>
      <x:c r="E9" s="29" t="str">
        <x:v>Valve</x:v>
      </x:c>
      <x:c r="F9" s="29" t="str">
        <x:v>VAL-100</x:v>
      </x:c>
      <x:c r="G9" s="30" t="n">
        <x:v>450</x:v>
      </x:c>
      <x:c r="H9" s="30" t="n">
        <x:v>41</x:v>
      </x:c>
      <x:c r="I9" s="30" t="n">
        <x:v>409</x:v>
      </x:c>
      <x:c r="J9" s="31" t="n">
        <x:v>0.96</x:v>
      </x:c>
      <x:c r="K9" s="30" t="n">
        <x:v>25875</x:v>
      </x:c>
      <x:c r="L9" s="30" t="n">
        <x:v>22055</x:v>
      </x:c>
      <x:c r="M9" s="30" t="n">
        <x:v>21492</x:v>
      </x:c>
      <x:c r="N9" s="30" t="n">
        <x:v>563</x:v>
      </x:c>
      <x:c r="O9" s="32" t="n">
        <x:v>0.9088888888888889</x:v>
      </x:c>
      <x:c r="P9" s="32" t="n">
        <x:v>0.8627872860635697</x:v>
      </x:c>
      <x:c r="Q9" s="32" t="n">
        <x:v>0.9744729086374971</x:v>
      </x:c>
      <x:c r="R9" s="32" t="n">
        <x:v>0.76416</x:v>
      </x:c>
      <x:c r="S9" s="29" t="str">
        <x:v>Quality check</x:v>
      </x:c>
      <x:c r="T9" s="29" t="str">
        <x:v>Dimension</x:v>
      </x:c>
      <x:c r="U9" s="30" t="n">
        <x:v>18</x:v>
      </x:c>
      <x:c r="V9" s="33" t="n">
        <x:v>150.4</x:v>
      </x:c>
      <x:c r="W9" s="34" t="n">
        <x:v>6.8</x:v>
      </x:c>
    </x:row>
    <x:row r="10">
      <x:c r="A10" s="28" t="n">
        <x:v>46206</x:v>
      </x:c>
      <x:c r="B10" s="29" t="str">
        <x:v>W01</x:v>
      </x:c>
      <x:c r="C10" s="29" t="str">
        <x:v>Night</x:v>
      </x:c>
      <x:c r="D10" s="29" t="str">
        <x:v>Line B</x:v>
      </x:c>
      <x:c r="E10" s="29" t="str">
        <x:v>Actuator</x:v>
      </x:c>
      <x:c r="F10" s="29" t="str">
        <x:v>ACT-220</x:v>
      </x:c>
      <x:c r="G10" s="30" t="n">
        <x:v>450</x:v>
      </x:c>
      <x:c r="H10" s="30" t="n">
        <x:v>38</x:v>
      </x:c>
      <x:c r="I10" s="30" t="n">
        <x:v>412</x:v>
      </x:c>
      <x:c r="J10" s="31" t="n">
        <x:v>1.08</x:v>
      </x:c>
      <x:c r="K10" s="30" t="n">
        <x:v>23000</x:v>
      </x:c>
      <x:c r="L10" s="30" t="n">
        <x:v>20297</x:v>
      </x:c>
      <x:c r="M10" s="30" t="n">
        <x:v>19868</x:v>
      </x:c>
      <x:c r="N10" s="30" t="n">
        <x:v>429</x:v>
      </x:c>
      <x:c r="O10" s="32" t="n">
        <x:v>0.9155555555555556</x:v>
      </x:c>
      <x:c r="P10" s="32" t="n">
        <x:v>0.8867621359223302</x:v>
      </x:c>
      <x:c r="Q10" s="32" t="n">
        <x:v>0.9788638715081046</x:v>
      </x:c>
      <x:c r="R10" s="32" t="n">
        <x:v>0.7947200000000001</x:v>
      </x:c>
      <x:c r="S10" s="29" t="str">
        <x:v>Material shortage</x:v>
      </x:c>
      <x:c r="T10" s="29" t="str">
        <x:v>Cosmetic</x:v>
      </x:c>
      <x:c r="U10" s="30" t="n">
        <x:v>9</x:v>
      </x:c>
      <x:c r="V10" s="33" t="n">
        <x:v>196.1</x:v>
      </x:c>
      <x:c r="W10" s="34" t="n">
        <x:v>6.9</x:v>
      </x:c>
    </x:row>
    <x:row r="11">
      <x:c r="A11" s="28" t="n">
        <x:v>46207</x:v>
      </x:c>
      <x:c r="B11" s="29" t="str">
        <x:v>W01</x:v>
      </x:c>
      <x:c r="C11" s="29" t="str">
        <x:v>Day</x:v>
      </x:c>
      <x:c r="D11" s="29" t="str">
        <x:v>Line A</x:v>
      </x:c>
      <x:c r="E11" s="29" t="str">
        <x:v>Valve</x:v>
      </x:c>
      <x:c r="F11" s="29" t="str">
        <x:v>VAL-100</x:v>
      </x:c>
      <x:c r="G11" s="30" t="n">
        <x:v>450</x:v>
      </x:c>
      <x:c r="H11" s="30" t="n">
        <x:v>16</x:v>
      </x:c>
      <x:c r="I11" s="30" t="n">
        <x:v>434</x:v>
      </x:c>
      <x:c r="J11" s="31" t="n">
        <x:v>0.96</x:v>
      </x:c>
      <x:c r="K11" s="30" t="n">
        <x:v>25875</x:v>
      </x:c>
      <x:c r="L11" s="30" t="n">
        <x:v>25323</x:v>
      </x:c>
      <x:c r="M11" s="30" t="n">
        <x:v>24740</x:v>
      </x:c>
      <x:c r="N11" s="30" t="n">
        <x:v>583</x:v>
      </x:c>
      <x:c r="O11" s="32" t="n">
        <x:v>0.9644444444444444</x:v>
      </x:c>
      <x:c r="P11" s="32" t="n">
        <x:v>0.9335668202764976</x:v>
      </x:c>
      <x:c r="Q11" s="32" t="n">
        <x:v>0.9769774513288315</x:v>
      </x:c>
      <x:c r="R11" s="32" t="n">
        <x:v>0.8796444444444443</x:v>
      </x:c>
      <x:c r="S11" s="29" t="str">
        <x:v>Quality check</x:v>
      </x:c>
      <x:c r="T11" s="29" t="str">
        <x:v>Assembly</x:v>
      </x:c>
      <x:c r="U11" s="30" t="n">
        <x:v>8</x:v>
      </x:c>
      <x:c r="V11" s="33" t="n">
        <x:v>159.9</x:v>
      </x:c>
      <x:c r="W11" s="34" t="n">
        <x:v>7.2</x:v>
      </x:c>
    </x:row>
    <x:row r="12">
      <x:c r="A12" s="28" t="n">
        <x:v>46207</x:v>
      </x:c>
      <x:c r="B12" s="29" t="str">
        <x:v>W01</x:v>
      </x:c>
      <x:c r="C12" s="29" t="str">
        <x:v>Late</x:v>
      </x:c>
      <x:c r="D12" s="29" t="str">
        <x:v>Line B</x:v>
      </x:c>
      <x:c r="E12" s="29" t="str">
        <x:v>Actuator</x:v>
      </x:c>
      <x:c r="F12" s="29" t="str">
        <x:v>ACT-220</x:v>
      </x:c>
      <x:c r="G12" s="30" t="n">
        <x:v>450</x:v>
      </x:c>
      <x:c r="H12" s="30" t="n">
        <x:v>56</x:v>
      </x:c>
      <x:c r="I12" s="30" t="n">
        <x:v>394</x:v>
      </x:c>
      <x:c r="J12" s="31" t="n">
        <x:v>1.08</x:v>
      </x:c>
      <x:c r="K12" s="30" t="n">
        <x:v>23000</x:v>
      </x:c>
      <x:c r="L12" s="30" t="n">
        <x:v>21011</x:v>
      </x:c>
      <x:c r="M12" s="30" t="n">
        <x:v>20479</x:v>
      </x:c>
      <x:c r="N12" s="30" t="n">
        <x:v>532</x:v>
      </x:c>
      <x:c r="O12" s="32" t="n">
        <x:v>0.8755555555555555</x:v>
      </x:c>
      <x:c r="P12" s="32" t="n">
        <x:v>0.9598934010152285</x:v>
      </x:c>
      <x:c r="Q12" s="32" t="n">
        <x:v>0.9746799295607063</x:v>
      </x:c>
      <x:c r="R12" s="32" t="n">
        <x:v>0.8191599999999999</x:v>
      </x:c>
      <x:c r="S12" s="29" t="str">
        <x:v>Sensor fault</x:v>
      </x:c>
      <x:c r="T12" s="29" t="str">
        <x:v>Leak test</x:v>
      </x:c>
      <x:c r="U12" s="30" t="n">
        <x:v>28</x:v>
      </x:c>
      <x:c r="V12" s="33" t="n">
        <x:v>171.7</x:v>
      </x:c>
      <x:c r="W12" s="34" t="n">
        <x:v>6.6</x:v>
      </x:c>
    </x:row>
    <x:row r="13">
      <x:c r="A13" s="28" t="n">
        <x:v>46207</x:v>
      </x:c>
      <x:c r="B13" s="29" t="str">
        <x:v>W01</x:v>
      </x:c>
      <x:c r="C13" s="29" t="str">
        <x:v>Night</x:v>
      </x:c>
      <x:c r="D13" s="29" t="str">
        <x:v>Line C</x:v>
      </x:c>
      <x:c r="E13" s="29" t="str">
        <x:v>Barrier Pack</x:v>
      </x:c>
      <x:c r="F13" s="29" t="str">
        <x:v>BPK-310</x:v>
      </x:c>
      <x:c r="G13" s="30" t="n">
        <x:v>450</x:v>
      </x:c>
      <x:c r="H13" s="30" t="n">
        <x:v>30</x:v>
      </x:c>
      <x:c r="I13" s="30" t="n">
        <x:v>420</x:v>
      </x:c>
      <x:c r="J13" s="31" t="n">
        <x:v>1.22</x:v>
      </x:c>
      <x:c r="K13" s="30" t="n">
        <x:v>20361</x:v>
      </x:c>
      <x:c r="L13" s="30" t="n">
        <x:v>17554</x:v>
      </x:c>
      <x:c r="M13" s="30" t="n">
        <x:v>17094</x:v>
      </x:c>
      <x:c r="N13" s="30" t="n">
        <x:v>460</x:v>
      </x:c>
      <x:c r="O13" s="32" t="n">
        <x:v>0.9333333333333333</x:v>
      </x:c>
      <x:c r="P13" s="32" t="n">
        <x:v>0.849836507936508</x:v>
      </x:c>
      <x:c r="Q13" s="32" t="n">
        <x:v>0.9737951464053777</x:v>
      </x:c>
      <x:c r="R13" s="32" t="n">
        <x:v>0.7723955555555556</x:v>
      </x:c>
      <x:c r="S13" s="29" t="str">
        <x:v>Cleaning</x:v>
      </x:c>
      <x:c r="T13" s="29" t="str">
        <x:v>Assembly</x:v>
      </x:c>
      <x:c r="U13" s="30" t="n">
        <x:v>18</x:v>
      </x:c>
      <x:c r="V13" s="33" t="n">
        <x:v>157.5</x:v>
      </x:c>
      <x:c r="W13" s="34" t="n">
        <x:v>7</x:v>
      </x:c>
    </x:row>
    <x:row r="14">
      <x:c r="A14" s="28" t="n">
        <x:v>46208</x:v>
      </x:c>
      <x:c r="B14" s="29" t="str">
        <x:v>W01</x:v>
      </x:c>
      <x:c r="C14" s="29" t="str">
        <x:v>Day</x:v>
      </x:c>
      <x:c r="D14" s="29" t="str">
        <x:v>Line B</x:v>
      </x:c>
      <x:c r="E14" s="29" t="str">
        <x:v>Actuator</x:v>
      </x:c>
      <x:c r="F14" s="29" t="str">
        <x:v>ACT-220</x:v>
      </x:c>
      <x:c r="G14" s="30" t="n">
        <x:v>450</x:v>
      </x:c>
      <x:c r="H14" s="30" t="n">
        <x:v>35</x:v>
      </x:c>
      <x:c r="I14" s="30" t="n">
        <x:v>415</x:v>
      </x:c>
      <x:c r="J14" s="31" t="n">
        <x:v>1.08</x:v>
      </x:c>
      <x:c r="K14" s="30" t="n">
        <x:v>23000</x:v>
      </x:c>
      <x:c r="L14" s="30" t="n">
        <x:v>22141</x:v>
      </x:c>
      <x:c r="M14" s="30" t="n">
        <x:v>21514</x:v>
      </x:c>
      <x:c r="N14" s="30" t="n">
        <x:v>627</x:v>
      </x:c>
      <x:c r="O14" s="32" t="n">
        <x:v>0.9222222222222223</x:v>
      </x:c>
      <x:c r="P14" s="32" t="n">
        <x:v>0.960332530120482</x:v>
      </x:c>
      <x:c r="Q14" s="32" t="n">
        <x:v>0.9716814958673954</x:v>
      </x:c>
      <x:c r="R14" s="32" t="n">
        <x:v>0.8605600000000001</x:v>
      </x:c>
      <x:c r="S14" s="29" t="str">
        <x:v>Quality check</x:v>
      </x:c>
      <x:c r="T14" s="29" t="str">
        <x:v>Seal</x:v>
      </x:c>
      <x:c r="U14" s="30" t="n">
        <x:v>20</x:v>
      </x:c>
      <x:c r="V14" s="33" t="n">
        <x:v>151.6</x:v>
      </x:c>
      <x:c r="W14" s="34" t="n">
        <x:v>6.9</x:v>
      </x:c>
    </x:row>
    <x:row r="15">
      <x:c r="A15" s="28" t="n">
        <x:v>46208</x:v>
      </x:c>
      <x:c r="B15" s="29" t="str">
        <x:v>W01</x:v>
      </x:c>
      <x:c r="C15" s="29" t="str">
        <x:v>Late</x:v>
      </x:c>
      <x:c r="D15" s="29" t="str">
        <x:v>Line C</x:v>
      </x:c>
      <x:c r="E15" s="29" t="str">
        <x:v>Barrier Pack</x:v>
      </x:c>
      <x:c r="F15" s="29" t="str">
        <x:v>BPK-310</x:v>
      </x:c>
      <x:c r="G15" s="30" t="n">
        <x:v>450</x:v>
      </x:c>
      <x:c r="H15" s="30" t="n">
        <x:v>37</x:v>
      </x:c>
      <x:c r="I15" s="30" t="n">
        <x:v>413</x:v>
      </x:c>
      <x:c r="J15" s="31" t="n">
        <x:v>1.22</x:v>
      </x:c>
      <x:c r="K15" s="30" t="n">
        <x:v>20361</x:v>
      </x:c>
      <x:c r="L15" s="30" t="n">
        <x:v>19528</x:v>
      </x:c>
      <x:c r="M15" s="30" t="n">
        <x:v>19387</x:v>
      </x:c>
      <x:c r="N15" s="30" t="n">
        <x:v>141</x:v>
      </x:c>
      <x:c r="O15" s="32" t="n">
        <x:v>0.9177777777777778</x:v>
      </x:c>
      <x:c r="P15" s="32" t="n">
        <x:v>0.9614269572235674</x:v>
      </x:c>
      <x:c r="Q15" s="32" t="n">
        <x:v>0.9927795985251946</x:v>
      </x:c>
      <x:c r="R15" s="32" t="n">
        <x:v>0.8760051851851852</x:v>
      </x:c>
      <x:c r="S15" s="29" t="str">
        <x:v>Sensor fault</x:v>
      </x:c>
      <x:c r="T15" s="29" t="str">
        <x:v>None</x:v>
      </x:c>
      <x:c r="U15" s="30" t="n">
        <x:v>18</x:v>
      </x:c>
      <x:c r="V15" s="33" t="n">
        <x:v>150.4</x:v>
      </x:c>
      <x:c r="W15" s="34" t="n">
        <x:v>6.9</x:v>
      </x:c>
    </x:row>
    <x:row r="16">
      <x:c r="A16" s="28" t="n">
        <x:v>46208</x:v>
      </x:c>
      <x:c r="B16" s="29" t="str">
        <x:v>W01</x:v>
      </x:c>
      <x:c r="C16" s="29" t="str">
        <x:v>Night</x:v>
      </x:c>
      <x:c r="D16" s="29" t="str">
        <x:v>Line A</x:v>
      </x:c>
      <x:c r="E16" s="29" t="str">
        <x:v>Valve</x:v>
      </x:c>
      <x:c r="F16" s="29" t="str">
        <x:v>VAL-100</x:v>
      </x:c>
      <x:c r="G16" s="30" t="n">
        <x:v>450</x:v>
      </x:c>
      <x:c r="H16" s="30" t="n">
        <x:v>30</x:v>
      </x:c>
      <x:c r="I16" s="30" t="n">
        <x:v>420</x:v>
      </x:c>
      <x:c r="J16" s="31" t="n">
        <x:v>0.96</x:v>
      </x:c>
      <x:c r="K16" s="30" t="n">
        <x:v>25875</x:v>
      </x:c>
      <x:c r="L16" s="30" t="n">
        <x:v>24859</x:v>
      </x:c>
      <x:c r="M16" s="30" t="n">
        <x:v>24702</x:v>
      </x:c>
      <x:c r="N16" s="30" t="n">
        <x:v>157</x:v>
      </x:c>
      <x:c r="O16" s="32" t="n">
        <x:v>0.9333333333333333</x:v>
      </x:c>
      <x:c r="P16" s="32" t="n">
        <x:v>0.9470095238095237</x:v>
      </x:c>
      <x:c r="Q16" s="32" t="n">
        <x:v>0.9936843799026509</x:v>
      </x:c>
      <x:c r="R16" s="32" t="n">
        <x:v>0.8782933333333333</x:v>
      </x:c>
      <x:c r="S16" s="29" t="str">
        <x:v>Material shortage</x:v>
      </x:c>
      <x:c r="T16" s="29" t="str">
        <x:v>None</x:v>
      </x:c>
      <x:c r="U16" s="30" t="n">
        <x:v>14</x:v>
      </x:c>
      <x:c r="V16" s="33" t="n">
        <x:v>182.5</x:v>
      </x:c>
      <x:c r="W16" s="34" t="n">
        <x:v>7</x:v>
      </x:c>
    </x:row>
    <x:row r="17">
      <x:c r="A17" s="28" t="n">
        <x:v>46209</x:v>
      </x:c>
      <x:c r="B17" s="29" t="str">
        <x:v>W01</x:v>
      </x:c>
      <x:c r="C17" s="29" t="str">
        <x:v>Day</x:v>
      </x:c>
      <x:c r="D17" s="29" t="str">
        <x:v>Line C</x:v>
      </x:c>
      <x:c r="E17" s="29" t="str">
        <x:v>Barrier Pack</x:v>
      </x:c>
      <x:c r="F17" s="29" t="str">
        <x:v>BPK-310</x:v>
      </x:c>
      <x:c r="G17" s="30" t="n">
        <x:v>450</x:v>
      </x:c>
      <x:c r="H17" s="30" t="n">
        <x:v>33</x:v>
      </x:c>
      <x:c r="I17" s="30" t="n">
        <x:v>417</x:v>
      </x:c>
      <x:c r="J17" s="31" t="n">
        <x:v>1.22</x:v>
      </x:c>
      <x:c r="K17" s="30" t="n">
        <x:v>20361</x:v>
      </x:c>
      <x:c r="L17" s="30" t="n">
        <x:v>19212</x:v>
      </x:c>
      <x:c r="M17" s="30" t="n">
        <x:v>19028</x:v>
      </x:c>
      <x:c r="N17" s="30" t="n">
        <x:v>184</x:v>
      </x:c>
      <x:c r="O17" s="32" t="n">
        <x:v>0.9266666666666666</x:v>
      </x:c>
      <x:c r="P17" s="32" t="n">
        <x:v>0.9367961630695444</x:v>
      </x:c>
      <x:c r="Q17" s="32" t="n">
        <x:v>0.9904226525088486</x:v>
      </x:c>
      <x:c r="R17" s="32" t="n">
        <x:v>0.8597837037037037</x:v>
      </x:c>
      <x:c r="S17" s="29" t="str">
        <x:v>Sensor fault</x:v>
      </x:c>
      <x:c r="T17" s="29" t="str">
        <x:v>None</x:v>
      </x:c>
      <x:c r="U17" s="30" t="n">
        <x:v>19</x:v>
      </x:c>
      <x:c r="V17" s="33" t="n">
        <x:v>217.9</x:v>
      </x:c>
      <x:c r="W17" s="34" t="n">
        <x:v>7</x:v>
      </x:c>
    </x:row>
    <x:row r="18">
      <x:c r="A18" s="28" t="n">
        <x:v>46209</x:v>
      </x:c>
      <x:c r="B18" s="29" t="str">
        <x:v>W01</x:v>
      </x:c>
      <x:c r="C18" s="29" t="str">
        <x:v>Late</x:v>
      </x:c>
      <x:c r="D18" s="29" t="str">
        <x:v>Line A</x:v>
      </x:c>
      <x:c r="E18" s="29" t="str">
        <x:v>Valve</x:v>
      </x:c>
      <x:c r="F18" s="29" t="str">
        <x:v>VAL-100</x:v>
      </x:c>
      <x:c r="G18" s="30" t="n">
        <x:v>450</x:v>
      </x:c>
      <x:c r="H18" s="30" t="n">
        <x:v>25</x:v>
      </x:c>
      <x:c r="I18" s="30" t="n">
        <x:v>425</x:v>
      </x:c>
      <x:c r="J18" s="31" t="n">
        <x:v>0.96</x:v>
      </x:c>
      <x:c r="K18" s="30" t="n">
        <x:v>25875</x:v>
      </x:c>
      <x:c r="L18" s="30" t="n">
        <x:v>23071</x:v>
      </x:c>
      <x:c r="M18" s="30" t="n">
        <x:v>22456</x:v>
      </x:c>
      <x:c r="N18" s="30" t="n">
        <x:v>615</x:v>
      </x:c>
      <x:c r="O18" s="32" t="n">
        <x:v>0.9444444444444444</x:v>
      </x:c>
      <x:c r="P18" s="32" t="n">
        <x:v>0.8685552941176471</x:v>
      </x:c>
      <x:c r="Q18" s="32" t="n">
        <x:v>0.9733431580772398</x:v>
      </x:c>
      <x:c r="R18" s="32" t="n">
        <x:v>0.7984355555555556</x:v>
      </x:c>
      <x:c r="S18" s="29" t="str">
        <x:v>Cleaning</x:v>
      </x:c>
      <x:c r="T18" s="29" t="str">
        <x:v>Leak test</x:v>
      </x:c>
      <x:c r="U18" s="30" t="n">
        <x:v>11</x:v>
      </x:c>
      <x:c r="V18" s="33" t="n">
        <x:v>153.3</x:v>
      </x:c>
      <x:c r="W18" s="34" t="n">
        <x:v>7.1</x:v>
      </x:c>
    </x:row>
    <x:row r="19">
      <x:c r="A19" s="28" t="n">
        <x:v>46209</x:v>
      </x:c>
      <x:c r="B19" s="29" t="str">
        <x:v>W01</x:v>
      </x:c>
      <x:c r="C19" s="29" t="str">
        <x:v>Night</x:v>
      </x:c>
      <x:c r="D19" s="29" t="str">
        <x:v>Line B</x:v>
      </x:c>
      <x:c r="E19" s="29" t="str">
        <x:v>Actuator</x:v>
      </x:c>
      <x:c r="F19" s="29" t="str">
        <x:v>ACT-220</x:v>
      </x:c>
      <x:c r="G19" s="30" t="n">
        <x:v>450</x:v>
      </x:c>
      <x:c r="H19" s="30" t="n">
        <x:v>19</x:v>
      </x:c>
      <x:c r="I19" s="30" t="n">
        <x:v>431</x:v>
      </x:c>
      <x:c r="J19" s="31" t="n">
        <x:v>1.08</x:v>
      </x:c>
      <x:c r="K19" s="30" t="n">
        <x:v>23000</x:v>
      </x:c>
      <x:c r="L19" s="30" t="n">
        <x:v>22460</x:v>
      </x:c>
      <x:c r="M19" s="30" t="n">
        <x:v>21901</x:v>
      </x:c>
      <x:c r="N19" s="30" t="n">
        <x:v>559</x:v>
      </x:c>
      <x:c r="O19" s="32" t="n">
        <x:v>0.9577777777777777</x:v>
      </x:c>
      <x:c r="P19" s="32" t="n">
        <x:v>0.9380046403712298</x:v>
      </x:c>
      <x:c r="Q19" s="32" t="n">
        <x:v>0.9751113089937667</x:v>
      </x:c>
      <x:c r="R19" s="32" t="n">
        <x:v>0.87604</x:v>
      </x:c>
      <x:c r="S19" s="29" t="str">
        <x:v>Material shortage</x:v>
      </x:c>
      <x:c r="T19" s="29" t="str">
        <x:v>Assembly</x:v>
      </x:c>
      <x:c r="U19" s="30" t="n">
        <x:v>10</x:v>
      </x:c>
      <x:c r="V19" s="33" t="n">
        <x:v>169.8</x:v>
      </x:c>
      <x:c r="W19" s="34" t="n">
        <x:v>7.2</x:v>
      </x:c>
    </x:row>
    <x:row r="20">
      <x:c r="A20" s="28" t="n">
        <x:v>46210</x:v>
      </x:c>
      <x:c r="B20" s="29" t="str">
        <x:v>W01</x:v>
      </x:c>
      <x:c r="C20" s="29" t="str">
        <x:v>Day</x:v>
      </x:c>
      <x:c r="D20" s="29" t="str">
        <x:v>Line A</x:v>
      </x:c>
      <x:c r="E20" s="29" t="str">
        <x:v>Valve</x:v>
      </x:c>
      <x:c r="F20" s="29" t="str">
        <x:v>VAL-100</x:v>
      </x:c>
      <x:c r="G20" s="30" t="n">
        <x:v>450</x:v>
      </x:c>
      <x:c r="H20" s="30" t="n">
        <x:v>22</x:v>
      </x:c>
      <x:c r="I20" s="30" t="n">
        <x:v>428</x:v>
      </x:c>
      <x:c r="J20" s="31" t="n">
        <x:v>0.96</x:v>
      </x:c>
      <x:c r="K20" s="30" t="n">
        <x:v>25875</x:v>
      </x:c>
      <x:c r="L20" s="30" t="n">
        <x:v>24649</x:v>
      </x:c>
      <x:c r="M20" s="30" t="n">
        <x:v>23894</x:v>
      </x:c>
      <x:c r="N20" s="30" t="n">
        <x:v>755</x:v>
      </x:c>
      <x:c r="O20" s="32" t="n">
        <x:v>0.9511111111111111</x:v>
      </x:c>
      <x:c r="P20" s="32" t="n">
        <x:v>0.9214579439252337</x:v>
      </x:c>
      <x:c r="Q20" s="32" t="n">
        <x:v>0.9693699541563552</x:v>
      </x:c>
      <x:c r="R20" s="32" t="n">
        <x:v>0.8495644444444446</x:v>
      </x:c>
      <x:c r="S20" s="29" t="str">
        <x:v>Changeover</x:v>
      </x:c>
      <x:c r="T20" s="29" t="str">
        <x:v>Assembly</x:v>
      </x:c>
      <x:c r="U20" s="30" t="n">
        <x:v>9</x:v>
      </x:c>
      <x:c r="V20" s="33" t="n">
        <x:v>169.4</x:v>
      </x:c>
      <x:c r="W20" s="34" t="n">
        <x:v>7.1</x:v>
      </x:c>
    </x:row>
    <x:row r="21">
      <x:c r="A21" s="28" t="n">
        <x:v>46210</x:v>
      </x:c>
      <x:c r="B21" s="29" t="str">
        <x:v>W01</x:v>
      </x:c>
      <x:c r="C21" s="29" t="str">
        <x:v>Late</x:v>
      </x:c>
      <x:c r="D21" s="29" t="str">
        <x:v>Line B</x:v>
      </x:c>
      <x:c r="E21" s="29" t="str">
        <x:v>Actuator</x:v>
      </x:c>
      <x:c r="F21" s="29" t="str">
        <x:v>ACT-220</x:v>
      </x:c>
      <x:c r="G21" s="30" t="n">
        <x:v>450</x:v>
      </x:c>
      <x:c r="H21" s="30" t="n">
        <x:v>34</x:v>
      </x:c>
      <x:c r="I21" s="30" t="n">
        <x:v>416</x:v>
      </x:c>
      <x:c r="J21" s="31" t="n">
        <x:v>1.08</x:v>
      </x:c>
      <x:c r="K21" s="30" t="n">
        <x:v>23000</x:v>
      </x:c>
      <x:c r="L21" s="30" t="n">
        <x:v>20314</x:v>
      </x:c>
      <x:c r="M21" s="30" t="n">
        <x:v>20019</x:v>
      </x:c>
      <x:c r="N21" s="30" t="n">
        <x:v>295</x:v>
      </x:c>
      <x:c r="O21" s="32" t="n">
        <x:v>0.9244444444444444</x:v>
      </x:c>
      <x:c r="P21" s="32" t="n">
        <x:v>0.878971153846154</x:v>
      </x:c>
      <x:c r="Q21" s="32" t="n">
        <x:v>0.9854779954711037</x:v>
      </x:c>
      <x:c r="R21" s="32" t="n">
        <x:v>0.8007600000000001</x:v>
      </x:c>
      <x:c r="S21" s="29" t="str">
        <x:v>Mechanical fault</x:v>
      </x:c>
      <x:c r="T21" s="29" t="str">
        <x:v>None</x:v>
      </x:c>
      <x:c r="U21" s="30" t="n">
        <x:v>13</x:v>
      </x:c>
      <x:c r="V21" s="33" t="n">
        <x:v>173.7</x:v>
      </x:c>
      <x:c r="W21" s="34" t="n">
        <x:v>6.9</x:v>
      </x:c>
    </x:row>
    <x:row r="22">
      <x:c r="A22" s="28" t="n">
        <x:v>46210</x:v>
      </x:c>
      <x:c r="B22" s="29" t="str">
        <x:v>W01</x:v>
      </x:c>
      <x:c r="C22" s="29" t="str">
        <x:v>Night</x:v>
      </x:c>
      <x:c r="D22" s="29" t="str">
        <x:v>Line C</x:v>
      </x:c>
      <x:c r="E22" s="29" t="str">
        <x:v>Barrier Pack</x:v>
      </x:c>
      <x:c r="F22" s="29" t="str">
        <x:v>BPK-310</x:v>
      </x:c>
      <x:c r="G22" s="30" t="n">
        <x:v>450</x:v>
      </x:c>
      <x:c r="H22" s="30" t="n">
        <x:v>69</x:v>
      </x:c>
      <x:c r="I22" s="30" t="n">
        <x:v>381</x:v>
      </x:c>
      <x:c r="J22" s="31" t="n">
        <x:v>1.22</x:v>
      </x:c>
      <x:c r="K22" s="30" t="n">
        <x:v>20361</x:v>
      </x:c>
      <x:c r="L22" s="30" t="n">
        <x:v>16728</x:v>
      </x:c>
      <x:c r="M22" s="30" t="n">
        <x:v>16397</x:v>
      </x:c>
      <x:c r="N22" s="30" t="n">
        <x:v>331</x:v>
      </x:c>
      <x:c r="O22" s="32" t="n">
        <x:v>0.8466666666666667</x:v>
      </x:c>
      <x:c r="P22" s="32" t="n">
        <x:v>0.8927454068241469</x:v>
      </x:c>
      <x:c r="Q22" s="32" t="n">
        <x:v>0.9802128168340507</x:v>
      </x:c>
      <x:c r="R22" s="32" t="n">
        <x:v>0.7409014814814815</x:v>
      </x:c>
      <x:c r="S22" s="29" t="str">
        <x:v>Mechanical fault</x:v>
      </x:c>
      <x:c r="T22" s="29" t="str">
        <x:v>None</x:v>
      </x:c>
      <x:c r="U22" s="30" t="n">
        <x:v>25</x:v>
      </x:c>
      <x:c r="V22" s="33" t="n">
        <x:v>178</x:v>
      </x:c>
      <x:c r="W22" s="34" t="n">
        <x:v>6.4</x:v>
      </x:c>
    </x:row>
    <x:row r="23">
      <x:c r="A23" s="28" t="n">
        <x:v>46211</x:v>
      </x:c>
      <x:c r="B23" s="29" t="str">
        <x:v>W02</x:v>
      </x:c>
      <x:c r="C23" s="29" t="str">
        <x:v>Day</x:v>
      </x:c>
      <x:c r="D23" s="29" t="str">
        <x:v>Line B</x:v>
      </x:c>
      <x:c r="E23" s="29" t="str">
        <x:v>Actuator</x:v>
      </x:c>
      <x:c r="F23" s="29" t="str">
        <x:v>ACT-220</x:v>
      </x:c>
      <x:c r="G23" s="30" t="n">
        <x:v>450</x:v>
      </x:c>
      <x:c r="H23" s="30" t="n">
        <x:v>55</x:v>
      </x:c>
      <x:c r="I23" s="30" t="n">
        <x:v>395</x:v>
      </x:c>
      <x:c r="J23" s="31" t="n">
        <x:v>1.08</x:v>
      </x:c>
      <x:c r="K23" s="30" t="n">
        <x:v>23000</x:v>
      </x:c>
      <x:c r="L23" s="30" t="n">
        <x:v>20582</x:v>
      </x:c>
      <x:c r="M23" s="30" t="n">
        <x:v>20255</x:v>
      </x:c>
      <x:c r="N23" s="30" t="n">
        <x:v>327</x:v>
      </x:c>
      <x:c r="O23" s="32" t="n">
        <x:v>0.8777777777777778</x:v>
      </x:c>
      <x:c r="P23" s="32" t="n">
        <x:v>0.937913924050633</x:v>
      </x:c>
      <x:c r="Q23" s="32" t="n">
        <x:v>0.9841123311631522</x:v>
      </x:c>
      <x:c r="R23" s="32" t="n">
        <x:v>0.8102</x:v>
      </x:c>
      <x:c r="S23" s="29" t="str">
        <x:v>Mechanical fault</x:v>
      </x:c>
      <x:c r="T23" s="29" t="str">
        <x:v>None</x:v>
      </x:c>
      <x:c r="U23" s="30" t="n">
        <x:v>24</x:v>
      </x:c>
      <x:c r="V23" s="33" t="n">
        <x:v>160.5</x:v>
      </x:c>
      <x:c r="W23" s="34" t="n">
        <x:v>6.6</x:v>
      </x:c>
    </x:row>
    <x:row r="24">
      <x:c r="A24" s="28" t="n">
        <x:v>46211</x:v>
      </x:c>
      <x:c r="B24" s="29" t="str">
        <x:v>W02</x:v>
      </x:c>
      <x:c r="C24" s="29" t="str">
        <x:v>Late</x:v>
      </x:c>
      <x:c r="D24" s="29" t="str">
        <x:v>Line C</x:v>
      </x:c>
      <x:c r="E24" s="29" t="str">
        <x:v>Barrier Pack</x:v>
      </x:c>
      <x:c r="F24" s="29" t="str">
        <x:v>BPK-310</x:v>
      </x:c>
      <x:c r="G24" s="30" t="n">
        <x:v>450</x:v>
      </x:c>
      <x:c r="H24" s="30" t="n">
        <x:v>47</x:v>
      </x:c>
      <x:c r="I24" s="30" t="n">
        <x:v>403</x:v>
      </x:c>
      <x:c r="J24" s="31" t="n">
        <x:v>1.22</x:v>
      </x:c>
      <x:c r="K24" s="30" t="n">
        <x:v>20361</x:v>
      </x:c>
      <x:c r="L24" s="30" t="n">
        <x:v>18751</x:v>
      </x:c>
      <x:c r="M24" s="30" t="n">
        <x:v>18561</x:v>
      </x:c>
      <x:c r="N24" s="30" t="n">
        <x:v>190</x:v>
      </x:c>
      <x:c r="O24" s="32" t="n">
        <x:v>0.8955555555555555</x:v>
      </x:c>
      <x:c r="P24" s="32" t="n">
        <x:v>0.9460802315963607</x:v>
      </x:c>
      <x:c r="Q24" s="32" t="n">
        <x:v>0.9898672070822889</x:v>
      </x:c>
      <x:c r="R24" s="32" t="n">
        <x:v>0.8386822222222222</x:v>
      </x:c>
      <x:c r="S24" s="29" t="str">
        <x:v>Sensor fault</x:v>
      </x:c>
      <x:c r="T24" s="29" t="str">
        <x:v>None</x:v>
      </x:c>
      <x:c r="U24" s="30" t="n">
        <x:v>25</x:v>
      </x:c>
      <x:c r="V24" s="33" t="n">
        <x:v>170.9</x:v>
      </x:c>
      <x:c r="W24" s="34" t="n">
        <x:v>6.7</x:v>
      </x:c>
    </x:row>
    <x:row r="25">
      <x:c r="A25" s="28" t="n">
        <x:v>46211</x:v>
      </x:c>
      <x:c r="B25" s="29" t="str">
        <x:v>W02</x:v>
      </x:c>
      <x:c r="C25" s="29" t="str">
        <x:v>Night</x:v>
      </x:c>
      <x:c r="D25" s="29" t="str">
        <x:v>Line A</x:v>
      </x:c>
      <x:c r="E25" s="29" t="str">
        <x:v>Valve</x:v>
      </x:c>
      <x:c r="F25" s="29" t="str">
        <x:v>VAL-100</x:v>
      </x:c>
      <x:c r="G25" s="30" t="n">
        <x:v>450</x:v>
      </x:c>
      <x:c r="H25" s="30" t="n">
        <x:v>57</x:v>
      </x:c>
      <x:c r="I25" s="30" t="n">
        <x:v>393</x:v>
      </x:c>
      <x:c r="J25" s="31" t="n">
        <x:v>0.96</x:v>
      </x:c>
      <x:c r="K25" s="30" t="n">
        <x:v>25875</x:v>
      </x:c>
      <x:c r="L25" s="30" t="n">
        <x:v>20752</x:v>
      </x:c>
      <x:c r="M25" s="30" t="n">
        <x:v>20252</x:v>
      </x:c>
      <x:c r="N25" s="30" t="n">
        <x:v>500</x:v>
      </x:c>
      <x:c r="O25" s="32" t="n">
        <x:v>0.8733333333333333</x:v>
      </x:c>
      <x:c r="P25" s="32" t="n">
        <x:v>0.8448651399491094</x:v>
      </x:c>
      <x:c r="Q25" s="32" t="n">
        <x:v>0.9759059367771781</x:v>
      </x:c>
      <x:c r="R25" s="32" t="n">
        <x:v>0.7200711111111111</x:v>
      </x:c>
      <x:c r="S25" s="29" t="str">
        <x:v>Changeover</x:v>
      </x:c>
      <x:c r="T25" s="29" t="str">
        <x:v>Dimension</x:v>
      </x:c>
      <x:c r="U25" s="30" t="n">
        <x:v>11</x:v>
      </x:c>
      <x:c r="V25" s="33" t="n">
        <x:v>166.4</x:v>
      </x:c>
      <x:c r="W25" s="34" t="n">
        <x:v>6.6</x:v>
      </x:c>
    </x:row>
    <x:row r="26">
      <x:c r="A26" s="28" t="n">
        <x:v>46212</x:v>
      </x:c>
      <x:c r="B26" s="29" t="str">
        <x:v>W02</x:v>
      </x:c>
      <x:c r="C26" s="29" t="str">
        <x:v>Day</x:v>
      </x:c>
      <x:c r="D26" s="29" t="str">
        <x:v>Line C</x:v>
      </x:c>
      <x:c r="E26" s="29" t="str">
        <x:v>Barrier Pack</x:v>
      </x:c>
      <x:c r="F26" s="29" t="str">
        <x:v>BPK-310</x:v>
      </x:c>
      <x:c r="G26" s="30" t="n">
        <x:v>450</x:v>
      </x:c>
      <x:c r="H26" s="30" t="n">
        <x:v>63</x:v>
      </x:c>
      <x:c r="I26" s="30" t="n">
        <x:v>387</x:v>
      </x:c>
      <x:c r="J26" s="31" t="n">
        <x:v>1.22</x:v>
      </x:c>
      <x:c r="K26" s="30" t="n">
        <x:v>20361</x:v>
      </x:c>
      <x:c r="L26" s="30" t="n">
        <x:v>17273</x:v>
      </x:c>
      <x:c r="M26" s="30" t="n">
        <x:v>17150</x:v>
      </x:c>
      <x:c r="N26" s="30" t="n">
        <x:v>123</x:v>
      </x:c>
      <x:c r="O26" s="32" t="n">
        <x:v>0.86</x:v>
      </x:c>
      <x:c r="P26" s="32" t="n">
        <x:v>0.9075391903531439</x:v>
      </x:c>
      <x:c r="Q26" s="32" t="n">
        <x:v>0.9928790598043189</x:v>
      </x:c>
      <x:c r="R26" s="32" t="n">
        <x:v>0.774925925925926</x:v>
      </x:c>
      <x:c r="S26" s="29" t="str">
        <x:v>Quality check</x:v>
      </x:c>
      <x:c r="T26" s="29" t="str">
        <x:v>None</x:v>
      </x:c>
      <x:c r="U26" s="30" t="n">
        <x:v>18</x:v>
      </x:c>
      <x:c r="V26" s="33" t="n">
        <x:v>205.2</x:v>
      </x:c>
      <x:c r="W26" s="34" t="n">
        <x:v>6.5</x:v>
      </x:c>
    </x:row>
    <x:row r="27">
      <x:c r="A27" s="28" t="n">
        <x:v>46212</x:v>
      </x:c>
      <x:c r="B27" s="29" t="str">
        <x:v>W02</x:v>
      </x:c>
      <x:c r="C27" s="29" t="str">
        <x:v>Late</x:v>
      </x:c>
      <x:c r="D27" s="29" t="str">
        <x:v>Line A</x:v>
      </x:c>
      <x:c r="E27" s="29" t="str">
        <x:v>Valve</x:v>
      </x:c>
      <x:c r="F27" s="29" t="str">
        <x:v>VAL-100</x:v>
      </x:c>
      <x:c r="G27" s="30" t="n">
        <x:v>450</x:v>
      </x:c>
      <x:c r="H27" s="30" t="n">
        <x:v>47</x:v>
      </x:c>
      <x:c r="I27" s="30" t="n">
        <x:v>403</x:v>
      </x:c>
      <x:c r="J27" s="31" t="n">
        <x:v>0.96</x:v>
      </x:c>
      <x:c r="K27" s="30" t="n">
        <x:v>25875</x:v>
      </x:c>
      <x:c r="L27" s="30" t="n">
        <x:v>24422</x:v>
      </x:c>
      <x:c r="M27" s="30" t="n">
        <x:v>23737</x:v>
      </x:c>
      <x:c r="N27" s="30" t="n">
        <x:v>685</x:v>
      </x:c>
      <x:c r="O27" s="32" t="n">
        <x:v>0.8955555555555555</x:v>
      </x:c>
      <x:c r="P27" s="32" t="n">
        <x:v>0.9696079404466501</x:v>
      </x:c>
      <x:c r="Q27" s="32" t="n">
        <x:v>0.971951519122103</x:v>
      </x:c>
      <x:c r="R27" s="32" t="n">
        <x:v>0.8439822222222222</x:v>
      </x:c>
      <x:c r="S27" s="29" t="str">
        <x:v>Changeover</x:v>
      </x:c>
      <x:c r="T27" s="29" t="str">
        <x:v>Seal</x:v>
      </x:c>
      <x:c r="U27" s="30" t="n">
        <x:v>19</x:v>
      </x:c>
      <x:c r="V27" s="33" t="n">
        <x:v>221.6</x:v>
      </x:c>
      <x:c r="W27" s="34" t="n">
        <x:v>6.7</x:v>
      </x:c>
    </x:row>
    <x:row r="28">
      <x:c r="A28" s="28" t="n">
        <x:v>46212</x:v>
      </x:c>
      <x:c r="B28" s="29" t="str">
        <x:v>W02</x:v>
      </x:c>
      <x:c r="C28" s="29" t="str">
        <x:v>Night</x:v>
      </x:c>
      <x:c r="D28" s="29" t="str">
        <x:v>Line B</x:v>
      </x:c>
      <x:c r="E28" s="29" t="str">
        <x:v>Actuator</x:v>
      </x:c>
      <x:c r="F28" s="29" t="str">
        <x:v>ACT-220</x:v>
      </x:c>
      <x:c r="G28" s="30" t="n">
        <x:v>450</x:v>
      </x:c>
      <x:c r="H28" s="30" t="n">
        <x:v>49</x:v>
      </x:c>
      <x:c r="I28" s="30" t="n">
        <x:v>401</x:v>
      </x:c>
      <x:c r="J28" s="31" t="n">
        <x:v>1.08</x:v>
      </x:c>
      <x:c r="K28" s="30" t="n">
        <x:v>23000</x:v>
      </x:c>
      <x:c r="L28" s="30" t="n">
        <x:v>19379</x:v>
      </x:c>
      <x:c r="M28" s="30" t="n">
        <x:v>19013</x:v>
      </x:c>
      <x:c r="N28" s="30" t="n">
        <x:v>366</x:v>
      </x:c>
      <x:c r="O28" s="32" t="n">
        <x:v>0.8911111111111111</x:v>
      </x:c>
      <x:c r="P28" s="32" t="n">
        <x:v>0.8698802992518703</x:v>
      </x:c>
      <x:c r="Q28" s="32" t="n">
        <x:v>0.9811135765519376</x:v>
      </x:c>
      <x:c r="R28" s="32" t="n">
        <x:v>0.76052</x:v>
      </x:c>
      <x:c r="S28" s="29" t="str">
        <x:v>Mechanical fault</x:v>
      </x:c>
      <x:c r="T28" s="29" t="str">
        <x:v>Dimension</x:v>
      </x:c>
      <x:c r="U28" s="30" t="n">
        <x:v>26</x:v>
      </x:c>
      <x:c r="V28" s="33" t="n">
        <x:v>177.2</x:v>
      </x:c>
      <x:c r="W28" s="34" t="n">
        <x:v>6.7</x:v>
      </x:c>
    </x:row>
    <x:row r="29">
      <x:c r="A29" s="28" t="n">
        <x:v>46213</x:v>
      </x:c>
      <x:c r="B29" s="29" t="str">
        <x:v>W02</x:v>
      </x:c>
      <x:c r="C29" s="29" t="str">
        <x:v>Day</x:v>
      </x:c>
      <x:c r="D29" s="29" t="str">
        <x:v>Line A</x:v>
      </x:c>
      <x:c r="E29" s="29" t="str">
        <x:v>Valve</x:v>
      </x:c>
      <x:c r="F29" s="29" t="str">
        <x:v>VAL-100</x:v>
      </x:c>
      <x:c r="G29" s="30" t="n">
        <x:v>450</x:v>
      </x:c>
      <x:c r="H29" s="30" t="n">
        <x:v>46</x:v>
      </x:c>
      <x:c r="I29" s="30" t="n">
        <x:v>404</x:v>
      </x:c>
      <x:c r="J29" s="31" t="n">
        <x:v>0.96</x:v>
      </x:c>
      <x:c r="K29" s="30" t="n">
        <x:v>25875</x:v>
      </x:c>
      <x:c r="L29" s="30" t="n">
        <x:v>22114</x:v>
      </x:c>
      <x:c r="M29" s="30" t="n">
        <x:v>21874</x:v>
      </x:c>
      <x:c r="N29" s="30" t="n">
        <x:v>240</x:v>
      </x:c>
      <x:c r="O29" s="32" t="n">
        <x:v>0.8977777777777778</x:v>
      </x:c>
      <x:c r="P29" s="32" t="n">
        <x:v>0.8758019801980198</x:v>
      </x:c>
      <x:c r="Q29" s="32" t="n">
        <x:v>0.9891471466039613</x:v>
      </x:c>
      <x:c r="R29" s="32" t="n">
        <x:v>0.7777422222222223</x:v>
      </x:c>
      <x:c r="S29" s="29" t="str">
        <x:v>Quality check</x:v>
      </x:c>
      <x:c r="T29" s="29" t="str">
        <x:v>None</x:v>
      </x:c>
      <x:c r="U29" s="30" t="n">
        <x:v>26</x:v>
      </x:c>
      <x:c r="V29" s="33" t="n">
        <x:v>204.6</x:v>
      </x:c>
      <x:c r="W29" s="34" t="n">
        <x:v>6.7</x:v>
      </x:c>
    </x:row>
    <x:row r="30">
      <x:c r="A30" s="28" t="n">
        <x:v>46213</x:v>
      </x:c>
      <x:c r="B30" s="29" t="str">
        <x:v>W02</x:v>
      </x:c>
      <x:c r="C30" s="29" t="str">
        <x:v>Late</x:v>
      </x:c>
      <x:c r="D30" s="29" t="str">
        <x:v>Line B</x:v>
      </x:c>
      <x:c r="E30" s="29" t="str">
        <x:v>Actuator</x:v>
      </x:c>
      <x:c r="F30" s="29" t="str">
        <x:v>ACT-220</x:v>
      </x:c>
      <x:c r="G30" s="30" t="n">
        <x:v>450</x:v>
      </x:c>
      <x:c r="H30" s="30" t="n">
        <x:v>54</x:v>
      </x:c>
      <x:c r="I30" s="30" t="n">
        <x:v>396</x:v>
      </x:c>
      <x:c r="J30" s="31" t="n">
        <x:v>1.08</x:v>
      </x:c>
      <x:c r="K30" s="30" t="n">
        <x:v>23000</x:v>
      </x:c>
      <x:c r="L30" s="30" t="n">
        <x:v>20775</x:v>
      </x:c>
      <x:c r="M30" s="30" t="n">
        <x:v>20363</x:v>
      </x:c>
      <x:c r="N30" s="30" t="n">
        <x:v>412</x:v>
      </x:c>
      <x:c r="O30" s="32" t="n">
        <x:v>0.88</x:v>
      </x:c>
      <x:c r="P30" s="32" t="n">
        <x:v>0.9443181818181818</x:v>
      </x:c>
      <x:c r="Q30" s="32" t="n">
        <x:v>0.9801684717208183</x:v>
      </x:c>
      <x:c r="R30" s="32" t="n">
        <x:v>0.8145200000000001</x:v>
      </x:c>
      <x:c r="S30" s="29" t="str">
        <x:v>Quality check</x:v>
      </x:c>
      <x:c r="T30" s="29" t="str">
        <x:v>Leak test</x:v>
      </x:c>
      <x:c r="U30" s="30" t="n">
        <x:v>20</x:v>
      </x:c>
      <x:c r="V30" s="33" t="n">
        <x:v>164.2</x:v>
      </x:c>
      <x:c r="W30" s="34" t="n">
        <x:v>6.6</x:v>
      </x:c>
    </x:row>
    <x:row r="31">
      <x:c r="A31" s="28" t="n">
        <x:v>46213</x:v>
      </x:c>
      <x:c r="B31" s="29" t="str">
        <x:v>W02</x:v>
      </x:c>
      <x:c r="C31" s="29" t="str">
        <x:v>Night</x:v>
      </x:c>
      <x:c r="D31" s="29" t="str">
        <x:v>Line C</x:v>
      </x:c>
      <x:c r="E31" s="29" t="str">
        <x:v>Barrier Pack</x:v>
      </x:c>
      <x:c r="F31" s="29" t="str">
        <x:v>BPK-310</x:v>
      </x:c>
      <x:c r="G31" s="30" t="n">
        <x:v>450</x:v>
      </x:c>
      <x:c r="H31" s="30" t="n">
        <x:v>70</x:v>
      </x:c>
      <x:c r="I31" s="30" t="n">
        <x:v>380</x:v>
      </x:c>
      <x:c r="J31" s="31" t="n">
        <x:v>1.22</x:v>
      </x:c>
      <x:c r="K31" s="30" t="n">
        <x:v>20361</x:v>
      </x:c>
      <x:c r="L31" s="30" t="n">
        <x:v>15760</x:v>
      </x:c>
      <x:c r="M31" s="30" t="n">
        <x:v>15431</x:v>
      </x:c>
      <x:c r="N31" s="30" t="n">
        <x:v>329</x:v>
      </x:c>
      <x:c r="O31" s="32" t="n">
        <x:v>0.8444444444444444</x:v>
      </x:c>
      <x:c r="P31" s="32" t="n">
        <x:v>0.8432982456140351</x:v>
      </x:c>
      <x:c r="Q31" s="32" t="n">
        <x:v>0.9791243654822335</x:v>
      </x:c>
      <x:c r="R31" s="32" t="n">
        <x:v>0.6972525925925925</x:v>
      </x:c>
      <x:c r="S31" s="29" t="str">
        <x:v>Material shortage</x:v>
      </x:c>
      <x:c r="T31" s="29" t="str">
        <x:v>None</x:v>
      </x:c>
      <x:c r="U31" s="30" t="n">
        <x:v>29</x:v>
      </x:c>
      <x:c r="V31" s="33" t="n">
        <x:v>166.8</x:v>
      </x:c>
      <x:c r="W31" s="34" t="n">
        <x:v>6.3</x:v>
      </x:c>
    </x:row>
    <x:row r="32">
      <x:c r="A32" s="28" t="n">
        <x:v>46214</x:v>
      </x:c>
      <x:c r="B32" s="29" t="str">
        <x:v>W02</x:v>
      </x:c>
      <x:c r="C32" s="29" t="str">
        <x:v>Day</x:v>
      </x:c>
      <x:c r="D32" s="29" t="str">
        <x:v>Line B</x:v>
      </x:c>
      <x:c r="E32" s="29" t="str">
        <x:v>Actuator</x:v>
      </x:c>
      <x:c r="F32" s="29" t="str">
        <x:v>ACT-220</x:v>
      </x:c>
      <x:c r="G32" s="30" t="n">
        <x:v>450</x:v>
      </x:c>
      <x:c r="H32" s="30" t="n">
        <x:v>35</x:v>
      </x:c>
      <x:c r="I32" s="30" t="n">
        <x:v>415</x:v>
      </x:c>
      <x:c r="J32" s="31" t="n">
        <x:v>1.08</x:v>
      </x:c>
      <x:c r="K32" s="30" t="n">
        <x:v>23000</x:v>
      </x:c>
      <x:c r="L32" s="30" t="n">
        <x:v>19904</x:v>
      </x:c>
      <x:c r="M32" s="30" t="n">
        <x:v>19356</x:v>
      </x:c>
      <x:c r="N32" s="30" t="n">
        <x:v>548</x:v>
      </x:c>
      <x:c r="O32" s="32" t="n">
        <x:v>0.9222222222222223</x:v>
      </x:c>
      <x:c r="P32" s="32" t="n">
        <x:v>0.8633060240963856</x:v>
      </x:c>
      <x:c r="Q32" s="32" t="n">
        <x:v>0.972467845659164</x:v>
      </x:c>
      <x:c r="R32" s="32" t="n">
        <x:v>0.7742400000000002</x:v>
      </x:c>
      <x:c r="S32" s="29" t="str">
        <x:v>Sensor fault</x:v>
      </x:c>
      <x:c r="T32" s="29" t="str">
        <x:v>Cosmetic</x:v>
      </x:c>
      <x:c r="U32" s="30" t="n">
        <x:v>8</x:v>
      </x:c>
      <x:c r="V32" s="33" t="n">
        <x:v>172.9</x:v>
      </x:c>
      <x:c r="W32" s="34" t="n">
        <x:v>6.9</x:v>
      </x:c>
    </x:row>
    <x:row r="33">
      <x:c r="A33" s="28" t="n">
        <x:v>46214</x:v>
      </x:c>
      <x:c r="B33" s="29" t="str">
        <x:v>W02</x:v>
      </x:c>
      <x:c r="C33" s="29" t="str">
        <x:v>Late</x:v>
      </x:c>
      <x:c r="D33" s="29" t="str">
        <x:v>Line C</x:v>
      </x:c>
      <x:c r="E33" s="29" t="str">
        <x:v>Barrier Pack</x:v>
      </x:c>
      <x:c r="F33" s="29" t="str">
        <x:v>BPK-310</x:v>
      </x:c>
      <x:c r="G33" s="30" t="n">
        <x:v>450</x:v>
      </x:c>
      <x:c r="H33" s="30" t="n">
        <x:v>50</x:v>
      </x:c>
      <x:c r="I33" s="30" t="n">
        <x:v>400</x:v>
      </x:c>
      <x:c r="J33" s="31" t="n">
        <x:v>1.22</x:v>
      </x:c>
      <x:c r="K33" s="30" t="n">
        <x:v>20361</x:v>
      </x:c>
      <x:c r="L33" s="30" t="n">
        <x:v>16881</x:v>
      </x:c>
      <x:c r="M33" s="30" t="n">
        <x:v>16461</x:v>
      </x:c>
      <x:c r="N33" s="30" t="n">
        <x:v>420</x:v>
      </x:c>
      <x:c r="O33" s="32" t="n">
        <x:v>0.8888888888888888</x:v>
      </x:c>
      <x:c r="P33" s="32" t="n">
        <x:v>0.8581175</x:v>
      </x:c>
      <x:c r="Q33" s="32" t="n">
        <x:v>0.9751199573484983</x:v>
      </x:c>
      <x:c r="R33" s="32" t="n">
        <x:v>0.7437933333333333</x:v>
      </x:c>
      <x:c r="S33" s="29" t="str">
        <x:v>Cleaning</x:v>
      </x:c>
      <x:c r="T33" s="29" t="str">
        <x:v>Leak test</x:v>
      </x:c>
      <x:c r="U33" s="30" t="n">
        <x:v>12</x:v>
      </x:c>
      <x:c r="V33" s="33" t="n">
        <x:v>185.8</x:v>
      </x:c>
      <x:c r="W33" s="34" t="n">
        <x:v>6.7</x:v>
      </x:c>
    </x:row>
    <x:row r="34">
      <x:c r="A34" s="28" t="n">
        <x:v>46214</x:v>
      </x:c>
      <x:c r="B34" s="29" t="str">
        <x:v>W02</x:v>
      </x:c>
      <x:c r="C34" s="29" t="str">
        <x:v>Night</x:v>
      </x:c>
      <x:c r="D34" s="29" t="str">
        <x:v>Line A</x:v>
      </x:c>
      <x:c r="E34" s="29" t="str">
        <x:v>Valve</x:v>
      </x:c>
      <x:c r="F34" s="29" t="str">
        <x:v>VAL-100</x:v>
      </x:c>
      <x:c r="G34" s="30" t="n">
        <x:v>450</x:v>
      </x:c>
      <x:c r="H34" s="30" t="n">
        <x:v>49</x:v>
      </x:c>
      <x:c r="I34" s="30" t="n">
        <x:v>401</x:v>
      </x:c>
      <x:c r="J34" s="31" t="n">
        <x:v>0.96</x:v>
      </x:c>
      <x:c r="K34" s="30" t="n">
        <x:v>25875</x:v>
      </x:c>
      <x:c r="L34" s="30" t="n">
        <x:v>24016</x:v>
      </x:c>
      <x:c r="M34" s="30" t="n">
        <x:v>23337</x:v>
      </x:c>
      <x:c r="N34" s="30" t="n">
        <x:v>679</x:v>
      </x:c>
      <x:c r="O34" s="32" t="n">
        <x:v>0.8911111111111111</x:v>
      </x:c>
      <x:c r="P34" s="32" t="n">
        <x:v>0.9582443890274315</x:v>
      </x:c>
      <x:c r="Q34" s="32" t="n">
        <x:v>0.9717271818787475</x:v>
      </x:c>
      <x:c r="R34" s="32" t="n">
        <x:v>0.82976</x:v>
      </x:c>
      <x:c r="S34" s="29" t="str">
        <x:v>Material shortage</x:v>
      </x:c>
      <x:c r="T34" s="29" t="str">
        <x:v>Assembly</x:v>
      </x:c>
      <x:c r="U34" s="30" t="n">
        <x:v>29</x:v>
      </x:c>
      <x:c r="V34" s="33" t="n">
        <x:v>210.3</x:v>
      </x:c>
      <x:c r="W34" s="34" t="n">
        <x:v>6.7</x:v>
      </x:c>
    </x:row>
    <x:row r="35">
      <x:c r="A35" s="28" t="n">
        <x:v>46215</x:v>
      </x:c>
      <x:c r="B35" s="29" t="str">
        <x:v>W02</x:v>
      </x:c>
      <x:c r="C35" s="29" t="str">
        <x:v>Day</x:v>
      </x:c>
      <x:c r="D35" s="29" t="str">
        <x:v>Line C</x:v>
      </x:c>
      <x:c r="E35" s="29" t="str">
        <x:v>Barrier Pack</x:v>
      </x:c>
      <x:c r="F35" s="29" t="str">
        <x:v>BPK-310</x:v>
      </x:c>
      <x:c r="G35" s="30" t="n">
        <x:v>450</x:v>
      </x:c>
      <x:c r="H35" s="30" t="n">
        <x:v>53</x:v>
      </x:c>
      <x:c r="I35" s="30" t="n">
        <x:v>397</x:v>
      </x:c>
      <x:c r="J35" s="31" t="n">
        <x:v>1.22</x:v>
      </x:c>
      <x:c r="K35" s="30" t="n">
        <x:v>20361</x:v>
      </x:c>
      <x:c r="L35" s="30" t="n">
        <x:v>18315</x:v>
      </x:c>
      <x:c r="M35" s="30" t="n">
        <x:v>18163</x:v>
      </x:c>
      <x:c r="N35" s="30" t="n">
        <x:v>152</x:v>
      </x:c>
      <x:c r="O35" s="32" t="n">
        <x:v>0.8822222222222222</x:v>
      </x:c>
      <x:c r="P35" s="32" t="n">
        <x:v>0.9380478589420654</x:v>
      </x:c>
      <x:c r="Q35" s="32" t="n">
        <x:v>0.9917007917007917</x:v>
      </x:c>
      <x:c r="R35" s="32" t="n">
        <x:v>0.8206985185185185</x:v>
      </x:c>
      <x:c r="S35" s="29" t="str">
        <x:v>Changeover</x:v>
      </x:c>
      <x:c r="T35" s="29" t="str">
        <x:v>None</x:v>
      </x:c>
      <x:c r="U35" s="30" t="n">
        <x:v>18</x:v>
      </x:c>
      <x:c r="V35" s="33" t="n">
        <x:v>207.3</x:v>
      </x:c>
      <x:c r="W35" s="34" t="n">
        <x:v>6.6</x:v>
      </x:c>
    </x:row>
    <x:row r="36">
      <x:c r="A36" s="28" t="n">
        <x:v>46215</x:v>
      </x:c>
      <x:c r="B36" s="29" t="str">
        <x:v>W02</x:v>
      </x:c>
      <x:c r="C36" s="29" t="str">
        <x:v>Late</x:v>
      </x:c>
      <x:c r="D36" s="29" t="str">
        <x:v>Line A</x:v>
      </x:c>
      <x:c r="E36" s="29" t="str">
        <x:v>Valve</x:v>
      </x:c>
      <x:c r="F36" s="29" t="str">
        <x:v>VAL-100</x:v>
      </x:c>
      <x:c r="G36" s="30" t="n">
        <x:v>450</x:v>
      </x:c>
      <x:c r="H36" s="30" t="n">
        <x:v>51</x:v>
      </x:c>
      <x:c r="I36" s="30" t="n">
        <x:v>399</x:v>
      </x:c>
      <x:c r="J36" s="31" t="n">
        <x:v>0.96</x:v>
      </x:c>
      <x:c r="K36" s="30" t="n">
        <x:v>25875</x:v>
      </x:c>
      <x:c r="L36" s="30" t="n">
        <x:v>22417</x:v>
      </x:c>
      <x:c r="M36" s="30" t="n">
        <x:v>22101</x:v>
      </x:c>
      <x:c r="N36" s="30" t="n">
        <x:v>316</x:v>
      </x:c>
      <x:c r="O36" s="32" t="n">
        <x:v>0.8866666666666667</x:v>
      </x:c>
      <x:c r="P36" s="32" t="n">
        <x:v>0.8989273182957394</x:v>
      </x:c>
      <x:c r="Q36" s="32" t="n">
        <x:v>0.9859035553374671</x:v>
      </x:c>
      <x:c r="R36" s="32" t="n">
        <x:v>0.7858133333333334</x:v>
      </x:c>
      <x:c r="S36" s="29" t="str">
        <x:v>Cleaning</x:v>
      </x:c>
      <x:c r="T36" s="29" t="str">
        <x:v>None</x:v>
      </x:c>
      <x:c r="U36" s="30" t="n">
        <x:v>10</x:v>
      </x:c>
      <x:c r="V36" s="33" t="n">
        <x:v>181.3</x:v>
      </x:c>
      <x:c r="W36" s="34" t="n">
        <x:v>6.7</x:v>
      </x:c>
    </x:row>
    <x:row r="37">
      <x:c r="A37" s="28" t="n">
        <x:v>46215</x:v>
      </x:c>
      <x:c r="B37" s="29" t="str">
        <x:v>W02</x:v>
      </x:c>
      <x:c r="C37" s="29" t="str">
        <x:v>Night</x:v>
      </x:c>
      <x:c r="D37" s="29" t="str">
        <x:v>Line B</x:v>
      </x:c>
      <x:c r="E37" s="29" t="str">
        <x:v>Actuator</x:v>
      </x:c>
      <x:c r="F37" s="29" t="str">
        <x:v>ACT-220</x:v>
      </x:c>
      <x:c r="G37" s="30" t="n">
        <x:v>450</x:v>
      </x:c>
      <x:c r="H37" s="30" t="n">
        <x:v>63</x:v>
      </x:c>
      <x:c r="I37" s="30" t="n">
        <x:v>387</x:v>
      </x:c>
      <x:c r="J37" s="31" t="n">
        <x:v>1.08</x:v>
      </x:c>
      <x:c r="K37" s="30" t="n">
        <x:v>23000</x:v>
      </x:c>
      <x:c r="L37" s="30" t="n">
        <x:v>18410</x:v>
      </x:c>
      <x:c r="M37" s="30" t="n">
        <x:v>18048</x:v>
      </x:c>
      <x:c r="N37" s="30" t="n">
        <x:v>362</x:v>
      </x:c>
      <x:c r="O37" s="32" t="n">
        <x:v>0.86</x:v>
      </x:c>
      <x:c r="P37" s="32" t="n">
        <x:v>0.856279069767442</x:v>
      </x:c>
      <x:c r="Q37" s="32" t="n">
        <x:v>0.980336773492667</x:v>
      </x:c>
      <x:c r="R37" s="32" t="n">
        <x:v>0.72192</x:v>
      </x:c>
      <x:c r="S37" s="29" t="str">
        <x:v>Cleaning</x:v>
      </x:c>
      <x:c r="T37" s="29" t="str">
        <x:v>Cosmetic</x:v>
      </x:c>
      <x:c r="U37" s="30" t="n">
        <x:v>26</x:v>
      </x:c>
      <x:c r="V37" s="33" t="n">
        <x:v>188.1</x:v>
      </x:c>
      <x:c r="W37" s="34" t="n">
        <x:v>6.5</x:v>
      </x:c>
    </x:row>
    <x:row r="38">
      <x:c r="A38" s="28" t="n">
        <x:v>46216</x:v>
      </x:c>
      <x:c r="B38" s="29" t="str">
        <x:v>W02</x:v>
      </x:c>
      <x:c r="C38" s="29" t="str">
        <x:v>Day</x:v>
      </x:c>
      <x:c r="D38" s="29" t="str">
        <x:v>Line A</x:v>
      </x:c>
      <x:c r="E38" s="29" t="str">
        <x:v>Valve</x:v>
      </x:c>
      <x:c r="F38" s="29" t="str">
        <x:v>VAL-100</x:v>
      </x:c>
      <x:c r="G38" s="30" t="n">
        <x:v>450</x:v>
      </x:c>
      <x:c r="H38" s="30" t="n">
        <x:v>47</x:v>
      </x:c>
      <x:c r="I38" s="30" t="n">
        <x:v>403</x:v>
      </x:c>
      <x:c r="J38" s="31" t="n">
        <x:v>0.96</x:v>
      </x:c>
      <x:c r="K38" s="30" t="n">
        <x:v>25875</x:v>
      </x:c>
      <x:c r="L38" s="30" t="n">
        <x:v>22178</x:v>
      </x:c>
      <x:c r="M38" s="30" t="n">
        <x:v>21623</x:v>
      </x:c>
      <x:c r="N38" s="30" t="n">
        <x:v>555</x:v>
      </x:c>
      <x:c r="O38" s="32" t="n">
        <x:v>0.8955555555555555</x:v>
      </x:c>
      <x:c r="P38" s="32" t="n">
        <x:v>0.8805161290322581</x:v>
      </x:c>
      <x:c r="Q38" s="32" t="n">
        <x:v>0.9749752006492921</x:v>
      </x:c>
      <x:c r="R38" s="32" t="n">
        <x:v>0.7688177777777778</x:v>
      </x:c>
      <x:c r="S38" s="29" t="str">
        <x:v>Sensor fault</x:v>
      </x:c>
      <x:c r="T38" s="29" t="str">
        <x:v>Cosmetic</x:v>
      </x:c>
      <x:c r="U38" s="30" t="n">
        <x:v>18</x:v>
      </x:c>
      <x:c r="V38" s="33" t="n">
        <x:v>186.3</x:v>
      </x:c>
      <x:c r="W38" s="34" t="n">
        <x:v>6.7</x:v>
      </x:c>
    </x:row>
    <x:row r="39">
      <x:c r="A39" s="28" t="n">
        <x:v>46216</x:v>
      </x:c>
      <x:c r="B39" s="29" t="str">
        <x:v>W02</x:v>
      </x:c>
      <x:c r="C39" s="29" t="str">
        <x:v>Late</x:v>
      </x:c>
      <x:c r="D39" s="29" t="str">
        <x:v>Line B</x:v>
      </x:c>
      <x:c r="E39" s="29" t="str">
        <x:v>Actuator</x:v>
      </x:c>
      <x:c r="F39" s="29" t="str">
        <x:v>ACT-220</x:v>
      </x:c>
      <x:c r="G39" s="30" t="n">
        <x:v>450</x:v>
      </x:c>
      <x:c r="H39" s="30" t="n">
        <x:v>46</x:v>
      </x:c>
      <x:c r="I39" s="30" t="n">
        <x:v>404</x:v>
      </x:c>
      <x:c r="J39" s="31" t="n">
        <x:v>1.08</x:v>
      </x:c>
      <x:c r="K39" s="30" t="n">
        <x:v>23000</x:v>
      </x:c>
      <x:c r="L39" s="30" t="n">
        <x:v>21732</x:v>
      </x:c>
      <x:c r="M39" s="30" t="n">
        <x:v>21515</x:v>
      </x:c>
      <x:c r="N39" s="30" t="n">
        <x:v>217</x:v>
      </x:c>
      <x:c r="O39" s="32" t="n">
        <x:v>0.8977777777777778</x:v>
      </x:c>
      <x:c r="P39" s="32" t="n">
        <x:v>0.9682574257425743</x:v>
      </x:c>
      <x:c r="Q39" s="32" t="n">
        <x:v>0.9900147248297442</x:v>
      </x:c>
      <x:c r="R39" s="32" t="n">
        <x:v>0.8606</x:v>
      </x:c>
      <x:c r="S39" s="29" t="str">
        <x:v>Quality check</x:v>
      </x:c>
      <x:c r="T39" s="29" t="str">
        <x:v>None</x:v>
      </x:c>
      <x:c r="U39" s="30" t="n">
        <x:v>28</x:v>
      </x:c>
      <x:c r="V39" s="33" t="n">
        <x:v>165</x:v>
      </x:c>
      <x:c r="W39" s="34" t="n">
        <x:v>6.7</x:v>
      </x:c>
    </x:row>
    <x:row r="40">
      <x:c r="A40" s="28" t="n">
        <x:v>46216</x:v>
      </x:c>
      <x:c r="B40" s="29" t="str">
        <x:v>W02</x:v>
      </x:c>
      <x:c r="C40" s="29" t="str">
        <x:v>Night</x:v>
      </x:c>
      <x:c r="D40" s="29" t="str">
        <x:v>Line C</x:v>
      </x:c>
      <x:c r="E40" s="29" t="str">
        <x:v>Barrier Pack</x:v>
      </x:c>
      <x:c r="F40" s="29" t="str">
        <x:v>BPK-310</x:v>
      </x:c>
      <x:c r="G40" s="30" t="n">
        <x:v>450</x:v>
      </x:c>
      <x:c r="H40" s="30" t="n">
        <x:v>37</x:v>
      </x:c>
      <x:c r="I40" s="30" t="n">
        <x:v>413</x:v>
      </x:c>
      <x:c r="J40" s="31" t="n">
        <x:v>1.22</x:v>
      </x:c>
      <x:c r="K40" s="30" t="n">
        <x:v>20361</x:v>
      </x:c>
      <x:c r="L40" s="30" t="n">
        <x:v>17683</x:v>
      </x:c>
      <x:c r="M40" s="30" t="n">
        <x:v>17253</x:v>
      </x:c>
      <x:c r="N40" s="30" t="n">
        <x:v>430</x:v>
      </x:c>
      <x:c r="O40" s="32" t="n">
        <x:v>0.9177777777777778</x:v>
      </x:c>
      <x:c r="P40" s="32" t="n">
        <x:v>0.8705916061339789</x:v>
      </x:c>
      <x:c r="Q40" s="32" t="n">
        <x:v>0.9756828592433411</x:v>
      </x:c>
      <x:c r="R40" s="32" t="n">
        <x:v>0.7795799999999999</x:v>
      </x:c>
      <x:c r="S40" s="29" t="str">
        <x:v>Cleaning</x:v>
      </x:c>
      <x:c r="T40" s="29" t="str">
        <x:v>Assembly</x:v>
      </x:c>
      <x:c r="U40" s="30" t="n">
        <x:v>18</x:v>
      </x:c>
      <x:c r="V40" s="33" t="n">
        <x:v>185.6</x:v>
      </x:c>
      <x:c r="W40" s="34" t="n">
        <x:v>6.9</x:v>
      </x:c>
    </x:row>
    <x:row r="41">
      <x:c r="A41" s="28" t="n">
        <x:v>46217</x:v>
      </x:c>
      <x:c r="B41" s="29" t="str">
        <x:v>W02</x:v>
      </x:c>
      <x:c r="C41" s="29" t="str">
        <x:v>Day</x:v>
      </x:c>
      <x:c r="D41" s="29" t="str">
        <x:v>Line B</x:v>
      </x:c>
      <x:c r="E41" s="29" t="str">
        <x:v>Actuator</x:v>
      </x:c>
      <x:c r="F41" s="29" t="str">
        <x:v>ACT-220</x:v>
      </x:c>
      <x:c r="G41" s="30" t="n">
        <x:v>450</x:v>
      </x:c>
      <x:c r="H41" s="30" t="n">
        <x:v>30</x:v>
      </x:c>
      <x:c r="I41" s="30" t="n">
        <x:v>420</x:v>
      </x:c>
      <x:c r="J41" s="31" t="n">
        <x:v>1.08</x:v>
      </x:c>
      <x:c r="K41" s="30" t="n">
        <x:v>23000</x:v>
      </x:c>
      <x:c r="L41" s="30" t="n">
        <x:v>21304</x:v>
      </x:c>
      <x:c r="M41" s="30" t="n">
        <x:v>20694</x:v>
      </x:c>
      <x:c r="N41" s="30" t="n">
        <x:v>610</x:v>
      </x:c>
      <x:c r="O41" s="32" t="n">
        <x:v>0.9333333333333333</x:v>
      </x:c>
      <x:c r="P41" s="32" t="n">
        <x:v>0.9130285714285714</x:v>
      </x:c>
      <x:c r="Q41" s="32" t="n">
        <x:v>0.9713668794592565</x:v>
      </x:c>
      <x:c r="R41" s="32" t="n">
        <x:v>0.82776</x:v>
      </x:c>
      <x:c r="S41" s="29" t="str">
        <x:v>Sensor fault</x:v>
      </x:c>
      <x:c r="T41" s="29" t="str">
        <x:v>Dimension</x:v>
      </x:c>
      <x:c r="U41" s="30" t="n">
        <x:v>16</x:v>
      </x:c>
      <x:c r="V41" s="33" t="n">
        <x:v>181.7</x:v>
      </x:c>
      <x:c r="W41" s="34" t="n">
        <x:v>7</x:v>
      </x:c>
    </x:row>
    <x:row r="42">
      <x:c r="A42" s="28" t="n">
        <x:v>46217</x:v>
      </x:c>
      <x:c r="B42" s="29" t="str">
        <x:v>W02</x:v>
      </x:c>
      <x:c r="C42" s="29" t="str">
        <x:v>Late</x:v>
      </x:c>
      <x:c r="D42" s="29" t="str">
        <x:v>Line C</x:v>
      </x:c>
      <x:c r="E42" s="29" t="str">
        <x:v>Barrier Pack</x:v>
      </x:c>
      <x:c r="F42" s="29" t="str">
        <x:v>BPK-310</x:v>
      </x:c>
      <x:c r="G42" s="30" t="n">
        <x:v>450</x:v>
      </x:c>
      <x:c r="H42" s="30" t="n">
        <x:v>33</x:v>
      </x:c>
      <x:c r="I42" s="30" t="n">
        <x:v>417</x:v>
      </x:c>
      <x:c r="J42" s="31" t="n">
        <x:v>1.22</x:v>
      </x:c>
      <x:c r="K42" s="30" t="n">
        <x:v>20361</x:v>
      </x:c>
      <x:c r="L42" s="30" t="n">
        <x:v>18324</x:v>
      </x:c>
      <x:c r="M42" s="30" t="n">
        <x:v>17813</x:v>
      </x:c>
      <x:c r="N42" s="30" t="n">
        <x:v>511</x:v>
      </x:c>
      <x:c r="O42" s="32" t="n">
        <x:v>0.9266666666666666</x:v>
      </x:c>
      <x:c r="P42" s="32" t="n">
        <x:v>0.8934964028776978</x:v>
      </x:c>
      <x:c r="Q42" s="32" t="n">
        <x:v>0.9721130757476534</x:v>
      </x:c>
      <x:c r="R42" s="32" t="n">
        <x:v>0.8048837037037038</x:v>
      </x:c>
      <x:c r="S42" s="29" t="str">
        <x:v>Cleaning</x:v>
      </x:c>
      <x:c r="T42" s="29" t="str">
        <x:v>Seal</x:v>
      </x:c>
      <x:c r="U42" s="30" t="n">
        <x:v>20</x:v>
      </x:c>
      <x:c r="V42" s="33" t="n">
        <x:v>191.2</x:v>
      </x:c>
      <x:c r="W42" s="34" t="n">
        <x:v>7</x:v>
      </x:c>
    </x:row>
    <x:row r="43">
      <x:c r="A43" s="28" t="n">
        <x:v>46217</x:v>
      </x:c>
      <x:c r="B43" s="29" t="str">
        <x:v>W02</x:v>
      </x:c>
      <x:c r="C43" s="29" t="str">
        <x:v>Night</x:v>
      </x:c>
      <x:c r="D43" s="29" t="str">
        <x:v>Line A</x:v>
      </x:c>
      <x:c r="E43" s="29" t="str">
        <x:v>Valve</x:v>
      </x:c>
      <x:c r="F43" s="29" t="str">
        <x:v>VAL-100</x:v>
      </x:c>
      <x:c r="G43" s="30" t="n">
        <x:v>450</x:v>
      </x:c>
      <x:c r="H43" s="30" t="n">
        <x:v>37</x:v>
      </x:c>
      <x:c r="I43" s="30" t="n">
        <x:v>413</x:v>
      </x:c>
      <x:c r="J43" s="31" t="n">
        <x:v>0.96</x:v>
      </x:c>
      <x:c r="K43" s="30" t="n">
        <x:v>25875</x:v>
      </x:c>
      <x:c r="L43" s="30" t="n">
        <x:v>23503</x:v>
      </x:c>
      <x:c r="M43" s="30" t="n">
        <x:v>22970</x:v>
      </x:c>
      <x:c r="N43" s="30" t="n">
        <x:v>533</x:v>
      </x:c>
      <x:c r="O43" s="32" t="n">
        <x:v>0.9177777777777778</x:v>
      </x:c>
      <x:c r="P43" s="32" t="n">
        <x:v>0.9105278450363196</x:v>
      </x:c>
      <x:c r="Q43" s="32" t="n">
        <x:v>0.9773220439943837</x:v>
      </x:c>
      <x:c r="R43" s="32" t="n">
        <x:v>0.816711111111111</x:v>
      </x:c>
      <x:c r="S43" s="29" t="str">
        <x:v>Changeover</x:v>
      </x:c>
      <x:c r="T43" s="29" t="str">
        <x:v>Leak test</x:v>
      </x:c>
      <x:c r="U43" s="30" t="n">
        <x:v>23</x:v>
      </x:c>
      <x:c r="V43" s="33" t="n">
        <x:v>167.3</x:v>
      </x:c>
      <x:c r="W43" s="34" t="n">
        <x:v>6.9</x:v>
      </x:c>
    </x:row>
    <x:row r="44">
      <x:c r="A44" s="28" t="n">
        <x:v>46218</x:v>
      </x:c>
      <x:c r="B44" s="29" t="str">
        <x:v>W03</x:v>
      </x:c>
      <x:c r="C44" s="29" t="str">
        <x:v>Day</x:v>
      </x:c>
      <x:c r="D44" s="29" t="str">
        <x:v>Line C</x:v>
      </x:c>
      <x:c r="E44" s="29" t="str">
        <x:v>Barrier Pack</x:v>
      </x:c>
      <x:c r="F44" s="29" t="str">
        <x:v>BPK-310</x:v>
      </x:c>
      <x:c r="G44" s="30" t="n">
        <x:v>450</x:v>
      </x:c>
      <x:c r="H44" s="30" t="n">
        <x:v>43</x:v>
      </x:c>
      <x:c r="I44" s="30" t="n">
        <x:v>407</x:v>
      </x:c>
      <x:c r="J44" s="31" t="n">
        <x:v>1.22</x:v>
      </x:c>
      <x:c r="K44" s="30" t="n">
        <x:v>20361</x:v>
      </x:c>
      <x:c r="L44" s="30" t="n">
        <x:v>18218</x:v>
      </x:c>
      <x:c r="M44" s="30" t="n">
        <x:v>17881</x:v>
      </x:c>
      <x:c r="N44" s="30" t="n">
        <x:v>337</x:v>
      </x:c>
      <x:c r="O44" s="32" t="n">
        <x:v>0.9044444444444445</x:v>
      </x:c>
      <x:c r="P44" s="32" t="n">
        <x:v>0.9101539721539721</x:v>
      </x:c>
      <x:c r="Q44" s="32" t="n">
        <x:v>0.9815018113953233</x:v>
      </x:c>
      <x:c r="R44" s="32" t="n">
        <x:v>0.8079562962962963</x:v>
      </x:c>
      <x:c r="S44" s="29" t="str">
        <x:v>Sensor fault</x:v>
      </x:c>
      <x:c r="T44" s="29" t="str">
        <x:v>None</x:v>
      </x:c>
      <x:c r="U44" s="30" t="n">
        <x:v>11</x:v>
      </x:c>
      <x:c r="V44" s="33" t="n">
        <x:v>175.1</x:v>
      </x:c>
      <x:c r="W44" s="34" t="n">
        <x:v>6.8</x:v>
      </x:c>
    </x:row>
    <x:row r="45">
      <x:c r="A45" s="28" t="n">
        <x:v>46218</x:v>
      </x:c>
      <x:c r="B45" s="29" t="str">
        <x:v>W03</x:v>
      </x:c>
      <x:c r="C45" s="29" t="str">
        <x:v>Late</x:v>
      </x:c>
      <x:c r="D45" s="29" t="str">
        <x:v>Line A</x:v>
      </x:c>
      <x:c r="E45" s="29" t="str">
        <x:v>Valve</x:v>
      </x:c>
      <x:c r="F45" s="29" t="str">
        <x:v>VAL-100</x:v>
      </x:c>
      <x:c r="G45" s="30" t="n">
        <x:v>450</x:v>
      </x:c>
      <x:c r="H45" s="30" t="n">
        <x:v>47</x:v>
      </x:c>
      <x:c r="I45" s="30" t="n">
        <x:v>403</x:v>
      </x:c>
      <x:c r="J45" s="31" t="n">
        <x:v>0.96</x:v>
      </x:c>
      <x:c r="K45" s="30" t="n">
        <x:v>25875</x:v>
      </x:c>
      <x:c r="L45" s="30" t="n">
        <x:v>21807</x:v>
      </x:c>
      <x:c r="M45" s="30" t="n">
        <x:v>21161</x:v>
      </x:c>
      <x:c r="N45" s="30" t="n">
        <x:v>646</x:v>
      </x:c>
      <x:c r="O45" s="32" t="n">
        <x:v>0.8955555555555555</x:v>
      </x:c>
      <x:c r="P45" s="32" t="n">
        <x:v>0.8657866004962778</x:v>
      </x:c>
      <x:c r="Q45" s="32" t="n">
        <x:v>0.9703764846150319</x:v>
      </x:c>
      <x:c r="R45" s="32" t="n">
        <x:v>0.752391111111111</x:v>
      </x:c>
      <x:c r="S45" s="29" t="str">
        <x:v>Cleaning</x:v>
      </x:c>
      <x:c r="T45" s="29" t="str">
        <x:v>Leak test</x:v>
      </x:c>
      <x:c r="U45" s="30" t="n">
        <x:v>24</x:v>
      </x:c>
      <x:c r="V45" s="33" t="n">
        <x:v>210.2</x:v>
      </x:c>
      <x:c r="W45" s="34" t="n">
        <x:v>6.7</x:v>
      </x:c>
    </x:row>
    <x:row r="46">
      <x:c r="A46" s="28" t="n">
        <x:v>46218</x:v>
      </x:c>
      <x:c r="B46" s="29" t="str">
        <x:v>W03</x:v>
      </x:c>
      <x:c r="C46" s="29" t="str">
        <x:v>Night</x:v>
      </x:c>
      <x:c r="D46" s="29" t="str">
        <x:v>Line B</x:v>
      </x:c>
      <x:c r="E46" s="29" t="str">
        <x:v>Actuator</x:v>
      </x:c>
      <x:c r="F46" s="29" t="str">
        <x:v>ACT-220</x:v>
      </x:c>
      <x:c r="G46" s="30" t="n">
        <x:v>450</x:v>
      </x:c>
      <x:c r="H46" s="30" t="n">
        <x:v>37</x:v>
      </x:c>
      <x:c r="I46" s="30" t="n">
        <x:v>413</x:v>
      </x:c>
      <x:c r="J46" s="31" t="n">
        <x:v>1.08</x:v>
      </x:c>
      <x:c r="K46" s="30" t="n">
        <x:v>23000</x:v>
      </x:c>
      <x:c r="L46" s="30" t="n">
        <x:v>21989</x:v>
      </x:c>
      <x:c r="M46" s="30" t="n">
        <x:v>21412</x:v>
      </x:c>
      <x:c r="N46" s="30" t="n">
        <x:v>577</x:v>
      </x:c>
      <x:c r="O46" s="32" t="n">
        <x:v>0.9177777777777778</x:v>
      </x:c>
      <x:c r="P46" s="32" t="n">
        <x:v>0.958358353510896</x:v>
      </x:c>
      <x:c r="Q46" s="32" t="n">
        <x:v>0.9737596070762654</x:v>
      </x:c>
      <x:c r="R46" s="32" t="n">
        <x:v>0.8564800000000001</x:v>
      </x:c>
      <x:c r="S46" s="29" t="str">
        <x:v>Cleaning</x:v>
      </x:c>
      <x:c r="T46" s="29" t="str">
        <x:v>Cosmetic</x:v>
      </x:c>
      <x:c r="U46" s="30" t="n">
        <x:v>24</x:v>
      </x:c>
      <x:c r="V46" s="33" t="n">
        <x:v>173.6</x:v>
      </x:c>
      <x:c r="W46" s="34" t="n">
        <x:v>6.9</x:v>
      </x:c>
    </x:row>
    <x:row r="47">
      <x:c r="A47" s="28" t="n">
        <x:v>46219</x:v>
      </x:c>
      <x:c r="B47" s="29" t="str">
        <x:v>W03</x:v>
      </x:c>
      <x:c r="C47" s="29" t="str">
        <x:v>Day</x:v>
      </x:c>
      <x:c r="D47" s="29" t="str">
        <x:v>Line A</x:v>
      </x:c>
      <x:c r="E47" s="29" t="str">
        <x:v>Valve</x:v>
      </x:c>
      <x:c r="F47" s="29" t="str">
        <x:v>VAL-100</x:v>
      </x:c>
      <x:c r="G47" s="30" t="n">
        <x:v>450</x:v>
      </x:c>
      <x:c r="H47" s="30" t="n">
        <x:v>42</x:v>
      </x:c>
      <x:c r="I47" s="30" t="n">
        <x:v>408</x:v>
      </x:c>
      <x:c r="J47" s="31" t="n">
        <x:v>0.96</x:v>
      </x:c>
      <x:c r="K47" s="30" t="n">
        <x:v>25875</x:v>
      </x:c>
      <x:c r="L47" s="30" t="n">
        <x:v>23104</x:v>
      </x:c>
      <x:c r="M47" s="30" t="n">
        <x:v>22492</x:v>
      </x:c>
      <x:c r="N47" s="30" t="n">
        <x:v>612</x:v>
      </x:c>
      <x:c r="O47" s="32" t="n">
        <x:v>0.9066666666666666</x:v>
      </x:c>
      <x:c r="P47" s="32" t="n">
        <x:v>0.9060392156862745</x:v>
      </x:c>
      <x:c r="Q47" s="32" t="n">
        <x:v>0.97351108033241</x:v>
      </x:c>
      <x:c r="R47" s="32" t="n">
        <x:v>0.7997155555555555</x:v>
      </x:c>
      <x:c r="S47" s="29" t="str">
        <x:v>Cleaning</x:v>
      </x:c>
      <x:c r="T47" s="29" t="str">
        <x:v>Assembly</x:v>
      </x:c>
      <x:c r="U47" s="30" t="n">
        <x:v>29</x:v>
      </x:c>
      <x:c r="V47" s="33" t="n">
        <x:v>145.7</x:v>
      </x:c>
      <x:c r="W47" s="34" t="n">
        <x:v>6.8</x:v>
      </x:c>
    </x:row>
    <x:row r="48">
      <x:c r="A48" s="28" t="n">
        <x:v>46219</x:v>
      </x:c>
      <x:c r="B48" s="29" t="str">
        <x:v>W03</x:v>
      </x:c>
      <x:c r="C48" s="29" t="str">
        <x:v>Late</x:v>
      </x:c>
      <x:c r="D48" s="29" t="str">
        <x:v>Line B</x:v>
      </x:c>
      <x:c r="E48" s="29" t="str">
        <x:v>Actuator</x:v>
      </x:c>
      <x:c r="F48" s="29" t="str">
        <x:v>ACT-220</x:v>
      </x:c>
      <x:c r="G48" s="30" t="n">
        <x:v>450</x:v>
      </x:c>
      <x:c r="H48" s="30" t="n">
        <x:v>47</x:v>
      </x:c>
      <x:c r="I48" s="30" t="n">
        <x:v>403</x:v>
      </x:c>
      <x:c r="J48" s="31" t="n">
        <x:v>1.08</x:v>
      </x:c>
      <x:c r="K48" s="30" t="n">
        <x:v>23000</x:v>
      </x:c>
      <x:c r="L48" s="30" t="n">
        <x:v>19139</x:v>
      </x:c>
      <x:c r="M48" s="30" t="n">
        <x:v>18602</x:v>
      </x:c>
      <x:c r="N48" s="30" t="n">
        <x:v>537</x:v>
      </x:c>
      <x:c r="O48" s="32" t="n">
        <x:v>0.8955555555555555</x:v>
      </x:c>
      <x:c r="P48" s="32" t="n">
        <x:v>0.8548436724565758</x:v>
      </x:c>
      <x:c r="Q48" s="32" t="n">
        <x:v>0.9719421077381264</x:v>
      </x:c>
      <x:c r="R48" s="32" t="n">
        <x:v>0.7440800000000002</x:v>
      </x:c>
      <x:c r="S48" s="29" t="str">
        <x:v>Cleaning</x:v>
      </x:c>
      <x:c r="T48" s="29" t="str">
        <x:v>Assembly</x:v>
      </x:c>
      <x:c r="U48" s="30" t="n">
        <x:v>24</x:v>
      </x:c>
      <x:c r="V48" s="33" t="n">
        <x:v>214.7</x:v>
      </x:c>
      <x:c r="W48" s="34" t="n">
        <x:v>6.7</x:v>
      </x:c>
    </x:row>
    <x:row r="49">
      <x:c r="A49" s="28" t="n">
        <x:v>46219</x:v>
      </x:c>
      <x:c r="B49" s="29" t="str">
        <x:v>W03</x:v>
      </x:c>
      <x:c r="C49" s="29" t="str">
        <x:v>Night</x:v>
      </x:c>
      <x:c r="D49" s="29" t="str">
        <x:v>Line C</x:v>
      </x:c>
      <x:c r="E49" s="29" t="str">
        <x:v>Barrier Pack</x:v>
      </x:c>
      <x:c r="F49" s="29" t="str">
        <x:v>BPK-310</x:v>
      </x:c>
      <x:c r="G49" s="30" t="n">
        <x:v>450</x:v>
      </x:c>
      <x:c r="H49" s="30" t="n">
        <x:v>41</x:v>
      </x:c>
      <x:c r="I49" s="30" t="n">
        <x:v>409</x:v>
      </x:c>
      <x:c r="J49" s="31" t="n">
        <x:v>1.22</x:v>
      </x:c>
      <x:c r="K49" s="30" t="n">
        <x:v>20361</x:v>
      </x:c>
      <x:c r="L49" s="30" t="n">
        <x:v>19210</x:v>
      </x:c>
      <x:c r="M49" s="30" t="n">
        <x:v>18813</x:v>
      </x:c>
      <x:c r="N49" s="30" t="n">
        <x:v>397</x:v>
      </x:c>
      <x:c r="O49" s="32" t="n">
        <x:v>0.9088888888888889</x:v>
      </x:c>
      <x:c r="P49" s="32" t="n">
        <x:v>0.9550203748981255</x:v>
      </x:c>
      <x:c r="Q49" s="32" t="n">
        <x:v>0.9793336803748048</x:v>
      </x:c>
      <x:c r="R49" s="32" t="n">
        <x:v>0.8500688888888889</x:v>
      </x:c>
      <x:c r="S49" s="29" t="str">
        <x:v>Mechanical fault</x:v>
      </x:c>
      <x:c r="T49" s="29" t="str">
        <x:v>Assembly</x:v>
      </x:c>
      <x:c r="U49" s="30" t="n">
        <x:v>27</x:v>
      </x:c>
      <x:c r="V49" s="33" t="n">
        <x:v>183.9</x:v>
      </x:c>
      <x:c r="W49" s="34" t="n">
        <x:v>6.8</x:v>
      </x:c>
    </x:row>
    <x:row r="50">
      <x:c r="A50" s="28" t="n">
        <x:v>46220</x:v>
      </x:c>
      <x:c r="B50" s="29" t="str">
        <x:v>W03</x:v>
      </x:c>
      <x:c r="C50" s="29" t="str">
        <x:v>Day</x:v>
      </x:c>
      <x:c r="D50" s="29" t="str">
        <x:v>Line B</x:v>
      </x:c>
      <x:c r="E50" s="29" t="str">
        <x:v>Actuator</x:v>
      </x:c>
      <x:c r="F50" s="29" t="str">
        <x:v>ACT-220</x:v>
      </x:c>
      <x:c r="G50" s="30" t="n">
        <x:v>450</x:v>
      </x:c>
      <x:c r="H50" s="30" t="n">
        <x:v>72</x:v>
      </x:c>
      <x:c r="I50" s="30" t="n">
        <x:v>378</x:v>
      </x:c>
      <x:c r="J50" s="31" t="n">
        <x:v>1.08</x:v>
      </x:c>
      <x:c r="K50" s="30" t="n">
        <x:v>23000</x:v>
      </x:c>
      <x:c r="L50" s="30" t="n">
        <x:v>17879</x:v>
      </x:c>
      <x:c r="M50" s="30" t="n">
        <x:v>17482</x:v>
      </x:c>
      <x:c r="N50" s="30" t="n">
        <x:v>397</x:v>
      </x:c>
      <x:c r="O50" s="32" t="n">
        <x:v>0.84</x:v>
      </x:c>
      <x:c r="P50" s="32" t="n">
        <x:v>0.8513809523809523</x:v>
      </x:c>
      <x:c r="Q50" s="32" t="n">
        <x:v>0.9777951787012696</x:v>
      </x:c>
      <x:c r="R50" s="32" t="n">
        <x:v>0.6992799999999999</x:v>
      </x:c>
      <x:c r="S50" s="29" t="str">
        <x:v>Changeover</x:v>
      </x:c>
      <x:c r="T50" s="29" t="str">
        <x:v>Seal</x:v>
      </x:c>
      <x:c r="U50" s="30" t="n">
        <x:v>28</x:v>
      </x:c>
      <x:c r="V50" s="33" t="n">
        <x:v>174.7</x:v>
      </x:c>
      <x:c r="W50" s="34" t="n">
        <x:v>6.3</x:v>
      </x:c>
    </x:row>
    <x:row r="51">
      <x:c r="A51" s="28" t="n">
        <x:v>46220</x:v>
      </x:c>
      <x:c r="B51" s="29" t="str">
        <x:v>W03</x:v>
      </x:c>
      <x:c r="C51" s="29" t="str">
        <x:v>Late</x:v>
      </x:c>
      <x:c r="D51" s="29" t="str">
        <x:v>Line C</x:v>
      </x:c>
      <x:c r="E51" s="29" t="str">
        <x:v>Barrier Pack</x:v>
      </x:c>
      <x:c r="F51" s="29" t="str">
        <x:v>BPK-310</x:v>
      </x:c>
      <x:c r="G51" s="30" t="n">
        <x:v>450</x:v>
      </x:c>
      <x:c r="H51" s="30" t="n">
        <x:v>58</x:v>
      </x:c>
      <x:c r="I51" s="30" t="n">
        <x:v>392</x:v>
      </x:c>
      <x:c r="J51" s="31" t="n">
        <x:v>1.22</x:v>
      </x:c>
      <x:c r="K51" s="30" t="n">
        <x:v>20361</x:v>
      </x:c>
      <x:c r="L51" s="30" t="n">
        <x:v>18564</x:v>
      </x:c>
      <x:c r="M51" s="30" t="n">
        <x:v>18050</x:v>
      </x:c>
      <x:c r="N51" s="30" t="n">
        <x:v>514</x:v>
      </x:c>
      <x:c r="O51" s="32" t="n">
        <x:v>0.8711111111111111</x:v>
      </x:c>
      <x:c r="P51" s="32" t="n">
        <x:v>0.9629285714285714</x:v>
      </x:c>
      <x:c r="Q51" s="32" t="n">
        <x:v>0.9723120017237664</x:v>
      </x:c>
      <x:c r="R51" s="32" t="n">
        <x:v>0.8155925925925924</x:v>
      </x:c>
      <x:c r="S51" s="29" t="str">
        <x:v>Quality check</x:v>
      </x:c>
      <x:c r="T51" s="29" t="str">
        <x:v>Dimension</x:v>
      </x:c>
      <x:c r="U51" s="30" t="n">
        <x:v>27</x:v>
      </x:c>
      <x:c r="V51" s="33" t="n">
        <x:v>210.1</x:v>
      </x:c>
      <x:c r="W51" s="34" t="n">
        <x:v>6.5</x:v>
      </x:c>
    </x:row>
    <x:row r="52">
      <x:c r="A52" s="28" t="n">
        <x:v>46220</x:v>
      </x:c>
      <x:c r="B52" s="29" t="str">
        <x:v>W03</x:v>
      </x:c>
      <x:c r="C52" s="29" t="str">
        <x:v>Night</x:v>
      </x:c>
      <x:c r="D52" s="29" t="str">
        <x:v>Line A</x:v>
      </x:c>
      <x:c r="E52" s="29" t="str">
        <x:v>Valve</x:v>
      </x:c>
      <x:c r="F52" s="29" t="str">
        <x:v>VAL-100</x:v>
      </x:c>
      <x:c r="G52" s="30" t="n">
        <x:v>450</x:v>
      </x:c>
      <x:c r="H52" s="30" t="n">
        <x:v>42</x:v>
      </x:c>
      <x:c r="I52" s="30" t="n">
        <x:v>408</x:v>
      </x:c>
      <x:c r="J52" s="31" t="n">
        <x:v>0.96</x:v>
      </x:c>
      <x:c r="K52" s="30" t="n">
        <x:v>25875</x:v>
      </x:c>
      <x:c r="L52" s="30" t="n">
        <x:v>22067</x:v>
      </x:c>
      <x:c r="M52" s="30" t="n">
        <x:v>21462</x:v>
      </x:c>
      <x:c r="N52" s="30" t="n">
        <x:v>605</x:v>
      </x:c>
      <x:c r="O52" s="32" t="n">
        <x:v>0.9066666666666666</x:v>
      </x:c>
      <x:c r="P52" s="32" t="n">
        <x:v>0.8653725490196078</x:v>
      </x:c>
      <x:c r="Q52" s="32" t="n">
        <x:v>0.9725834957175874</x:v>
      </x:c>
      <x:c r="R52" s="32" t="n">
        <x:v>0.7630933333333333</x:v>
      </x:c>
      <x:c r="S52" s="29" t="str">
        <x:v>Quality check</x:v>
      </x:c>
      <x:c r="T52" s="29" t="str">
        <x:v>Cosmetic</x:v>
      </x:c>
      <x:c r="U52" s="30" t="n">
        <x:v>16</x:v>
      </x:c>
      <x:c r="V52" s="33" t="n">
        <x:v>184.9</x:v>
      </x:c>
      <x:c r="W52" s="34" t="n">
        <x:v>6.8</x:v>
      </x:c>
    </x:row>
    <x:row r="53">
      <x:c r="A53" s="28" t="n">
        <x:v>46221</x:v>
      </x:c>
      <x:c r="B53" s="29" t="str">
        <x:v>W03</x:v>
      </x:c>
      <x:c r="C53" s="29" t="str">
        <x:v>Day</x:v>
      </x:c>
      <x:c r="D53" s="29" t="str">
        <x:v>Line C</x:v>
      </x:c>
      <x:c r="E53" s="29" t="str">
        <x:v>Barrier Pack</x:v>
      </x:c>
      <x:c r="F53" s="29" t="str">
        <x:v>BPK-310</x:v>
      </x:c>
      <x:c r="G53" s="30" t="n">
        <x:v>450</x:v>
      </x:c>
      <x:c r="H53" s="30" t="n">
        <x:v>32</x:v>
      </x:c>
      <x:c r="I53" s="30" t="n">
        <x:v>418</x:v>
      </x:c>
      <x:c r="J53" s="31" t="n">
        <x:v>1.22</x:v>
      </x:c>
      <x:c r="K53" s="30" t="n">
        <x:v>20361</x:v>
      </x:c>
      <x:c r="L53" s="30" t="n">
        <x:v>17289</x:v>
      </x:c>
      <x:c r="M53" s="30" t="n">
        <x:v>17164</x:v>
      </x:c>
      <x:c r="N53" s="30" t="n">
        <x:v>125</x:v>
      </x:c>
      <x:c r="O53" s="32" t="n">
        <x:v>0.9288888888888889</x:v>
      </x:c>
      <x:c r="P53" s="32" t="n">
        <x:v>0.8410119617224879</x:v>
      </x:c>
      <x:c r="Q53" s="32" t="n">
        <x:v>0.99276996934467</x:v>
      </x:c>
      <x:c r="R53" s="32" t="n">
        <x:v>0.7755585185185184</x:v>
      </x:c>
      <x:c r="S53" s="29" t="str">
        <x:v>Material shortage</x:v>
      </x:c>
      <x:c r="T53" s="29" t="str">
        <x:v>None</x:v>
      </x:c>
      <x:c r="U53" s="30" t="n">
        <x:v>22</x:v>
      </x:c>
      <x:c r="V53" s="33" t="n">
        <x:v>166.1</x:v>
      </x:c>
      <x:c r="W53" s="34" t="n">
        <x:v>7</x:v>
      </x:c>
    </x:row>
    <x:row r="54">
      <x:c r="A54" s="28" t="n">
        <x:v>46221</x:v>
      </x:c>
      <x:c r="B54" s="29" t="str">
        <x:v>W03</x:v>
      </x:c>
      <x:c r="C54" s="29" t="str">
        <x:v>Late</x:v>
      </x:c>
      <x:c r="D54" s="29" t="str">
        <x:v>Line A</x:v>
      </x:c>
      <x:c r="E54" s="29" t="str">
        <x:v>Valve</x:v>
      </x:c>
      <x:c r="F54" s="29" t="str">
        <x:v>VAL-100</x:v>
      </x:c>
      <x:c r="G54" s="30" t="n">
        <x:v>450</x:v>
      </x:c>
      <x:c r="H54" s="30" t="n">
        <x:v>46</x:v>
      </x:c>
      <x:c r="I54" s="30" t="n">
        <x:v>404</x:v>
      </x:c>
      <x:c r="J54" s="31" t="n">
        <x:v>0.96</x:v>
      </x:c>
      <x:c r="K54" s="30" t="n">
        <x:v>25875</x:v>
      </x:c>
      <x:c r="L54" s="30" t="n">
        <x:v>24356</x:v>
      </x:c>
      <x:c r="M54" s="30" t="n">
        <x:v>24102</x:v>
      </x:c>
      <x:c r="N54" s="30" t="n">
        <x:v>254</x:v>
      </x:c>
      <x:c r="O54" s="32" t="n">
        <x:v>0.8977777777777778</x:v>
      </x:c>
      <x:c r="P54" s="32" t="n">
        <x:v>0.9645940594059406</x:v>
      </x:c>
      <x:c r="Q54" s="32" t="n">
        <x:v>0.9895713581868943</x:v>
      </x:c>
      <x:c r="R54" s="32" t="n">
        <x:v>0.8569599999999998</x:v>
      </x:c>
      <x:c r="S54" s="29" t="str">
        <x:v>Mechanical fault</x:v>
      </x:c>
      <x:c r="T54" s="29" t="str">
        <x:v>None</x:v>
      </x:c>
      <x:c r="U54" s="30" t="n">
        <x:v>21</x:v>
      </x:c>
      <x:c r="V54" s="33" t="n">
        <x:v>154</x:v>
      </x:c>
      <x:c r="W54" s="34" t="n">
        <x:v>6.7</x:v>
      </x:c>
    </x:row>
    <x:row r="55">
      <x:c r="A55" s="28" t="n">
        <x:v>46221</x:v>
      </x:c>
      <x:c r="B55" s="29" t="str">
        <x:v>W03</x:v>
      </x:c>
      <x:c r="C55" s="29" t="str">
        <x:v>Night</x:v>
      </x:c>
      <x:c r="D55" s="29" t="str">
        <x:v>Line B</x:v>
      </x:c>
      <x:c r="E55" s="29" t="str">
        <x:v>Actuator</x:v>
      </x:c>
      <x:c r="F55" s="29" t="str">
        <x:v>ACT-220</x:v>
      </x:c>
      <x:c r="G55" s="30" t="n">
        <x:v>450</x:v>
      </x:c>
      <x:c r="H55" s="30" t="n">
        <x:v>32</x:v>
      </x:c>
      <x:c r="I55" s="30" t="n">
        <x:v>418</x:v>
      </x:c>
      <x:c r="J55" s="31" t="n">
        <x:v>1.08</x:v>
      </x:c>
      <x:c r="K55" s="30" t="n">
        <x:v>23000</x:v>
      </x:c>
      <x:c r="L55" s="30" t="n">
        <x:v>20821</x:v>
      </x:c>
      <x:c r="M55" s="30" t="n">
        <x:v>20318</x:v>
      </x:c>
      <x:c r="N55" s="30" t="n">
        <x:v>503</x:v>
      </x:c>
      <x:c r="O55" s="32" t="n">
        <x:v>0.9288888888888889</x:v>
      </x:c>
      <x:c r="P55" s="32" t="n">
        <x:v>0.896598086124402</x:v>
      </x:c>
      <x:c r="Q55" s="32" t="n">
        <x:v>0.9758416982853849</x:v>
      </x:c>
      <x:c r="R55" s="32" t="n">
        <x:v>0.81272</x:v>
      </x:c>
      <x:c r="S55" s="29" t="str">
        <x:v>Material shortage</x:v>
      </x:c>
      <x:c r="T55" s="29" t="str">
        <x:v>Seal</x:v>
      </x:c>
      <x:c r="U55" s="30" t="n">
        <x:v>9</x:v>
      </x:c>
      <x:c r="V55" s="33" t="n">
        <x:v>216.9</x:v>
      </x:c>
      <x:c r="W55" s="34" t="n">
        <x:v>7</x:v>
      </x:c>
    </x:row>
    <x:row r="56">
      <x:c r="A56" s="28" t="n">
        <x:v>46222</x:v>
      </x:c>
      <x:c r="B56" s="29" t="str">
        <x:v>W03</x:v>
      </x:c>
      <x:c r="C56" s="29" t="str">
        <x:v>Day</x:v>
      </x:c>
      <x:c r="D56" s="29" t="str">
        <x:v>Line A</x:v>
      </x:c>
      <x:c r="E56" s="29" t="str">
        <x:v>Valve</x:v>
      </x:c>
      <x:c r="F56" s="29" t="str">
        <x:v>VAL-100</x:v>
      </x:c>
      <x:c r="G56" s="30" t="n">
        <x:v>450</x:v>
      </x:c>
      <x:c r="H56" s="30" t="n">
        <x:v>62</x:v>
      </x:c>
      <x:c r="I56" s="30" t="n">
        <x:v>388</x:v>
      </x:c>
      <x:c r="J56" s="31" t="n">
        <x:v>0.96</x:v>
      </x:c>
      <x:c r="K56" s="30" t="n">
        <x:v>25875</x:v>
      </x:c>
      <x:c r="L56" s="30" t="n">
        <x:v>20470</x:v>
      </x:c>
      <x:c r="M56" s="30" t="n">
        <x:v>20089</x:v>
      </x:c>
      <x:c r="N56" s="30" t="n">
        <x:v>381</x:v>
      </x:c>
      <x:c r="O56" s="32" t="n">
        <x:v>0.8622222222222222</x:v>
      </x:c>
      <x:c r="P56" s="32" t="n">
        <x:v>0.8441237113402063</x:v>
      </x:c>
      <x:c r="Q56" s="32" t="n">
        <x:v>0.9813873961895456</x:v>
      </x:c>
      <x:c r="R56" s="32" t="n">
        <x:v>0.7142755555555556</x:v>
      </x:c>
      <x:c r="S56" s="29" t="str">
        <x:v>Cleaning</x:v>
      </x:c>
      <x:c r="T56" s="29" t="str">
        <x:v>Leak test</x:v>
      </x:c>
      <x:c r="U56" s="30" t="n">
        <x:v>17</x:v>
      </x:c>
      <x:c r="V56" s="33" t="n">
        <x:v>195.4</x:v>
      </x:c>
      <x:c r="W56" s="34" t="n">
        <x:v>6.5</x:v>
      </x:c>
    </x:row>
    <x:row r="57">
      <x:c r="A57" s="28" t="n">
        <x:v>46222</x:v>
      </x:c>
      <x:c r="B57" s="29" t="str">
        <x:v>W03</x:v>
      </x:c>
      <x:c r="C57" s="29" t="str">
        <x:v>Late</x:v>
      </x:c>
      <x:c r="D57" s="29" t="str">
        <x:v>Line B</x:v>
      </x:c>
      <x:c r="E57" s="29" t="str">
        <x:v>Actuator</x:v>
      </x:c>
      <x:c r="F57" s="29" t="str">
        <x:v>ACT-220</x:v>
      </x:c>
      <x:c r="G57" s="30" t="n">
        <x:v>450</x:v>
      </x:c>
      <x:c r="H57" s="30" t="n">
        <x:v>53</x:v>
      </x:c>
      <x:c r="I57" s="30" t="n">
        <x:v>397</x:v>
      </x:c>
      <x:c r="J57" s="31" t="n">
        <x:v>1.08</x:v>
      </x:c>
      <x:c r="K57" s="30" t="n">
        <x:v>23000</x:v>
      </x:c>
      <x:c r="L57" s="30" t="n">
        <x:v>20258</x:v>
      </x:c>
      <x:c r="M57" s="30" t="n">
        <x:v>19964</x:v>
      </x:c>
      <x:c r="N57" s="30" t="n">
        <x:v>294</x:v>
      </x:c>
      <x:c r="O57" s="32" t="n">
        <x:v>0.8822222222222222</x:v>
      </x:c>
      <x:c r="P57" s="32" t="n">
        <x:v>0.9184987405541563</x:v>
      </x:c>
      <x:c r="Q57" s="32" t="n">
        <x:v>0.9854872149274361</x:v>
      </x:c>
      <x:c r="R57" s="32" t="n">
        <x:v>0.79856</x:v>
      </x:c>
      <x:c r="S57" s="29" t="str">
        <x:v>Mechanical fault</x:v>
      </x:c>
      <x:c r="T57" s="29" t="str">
        <x:v>None</x:v>
      </x:c>
      <x:c r="U57" s="30" t="n">
        <x:v>23</x:v>
      </x:c>
      <x:c r="V57" s="33" t="n">
        <x:v>181.7</x:v>
      </x:c>
      <x:c r="W57" s="34" t="n">
        <x:v>6.6</x:v>
      </x:c>
    </x:row>
    <x:row r="58">
      <x:c r="A58" s="28" t="n">
        <x:v>46222</x:v>
      </x:c>
      <x:c r="B58" s="29" t="str">
        <x:v>W03</x:v>
      </x:c>
      <x:c r="C58" s="29" t="str">
        <x:v>Night</x:v>
      </x:c>
      <x:c r="D58" s="29" t="str">
        <x:v>Line C</x:v>
      </x:c>
      <x:c r="E58" s="29" t="str">
        <x:v>Barrier Pack</x:v>
      </x:c>
      <x:c r="F58" s="29" t="str">
        <x:v>BPK-310</x:v>
      </x:c>
      <x:c r="G58" s="30" t="n">
        <x:v>450</x:v>
      </x:c>
      <x:c r="H58" s="30" t="n">
        <x:v>24</x:v>
      </x:c>
      <x:c r="I58" s="30" t="n">
        <x:v>426</x:v>
      </x:c>
      <x:c r="J58" s="31" t="n">
        <x:v>1.22</x:v>
      </x:c>
      <x:c r="K58" s="30" t="n">
        <x:v>20361</x:v>
      </x:c>
      <x:c r="L58" s="30" t="n">
        <x:v>18242</x:v>
      </x:c>
      <x:c r="M58" s="30" t="n">
        <x:v>17933</x:v>
      </x:c>
      <x:c r="N58" s="30" t="n">
        <x:v>309</x:v>
      </x:c>
      <x:c r="O58" s="32" t="n">
        <x:v>0.9466666666666667</x:v>
      </x:c>
      <x:c r="P58" s="32" t="n">
        <x:v>0.8707057902973395</x:v>
      </x:c>
      <x:c r="Q58" s="32" t="n">
        <x:v>0.9830610678653656</x:v>
      </x:c>
      <x:c r="R58" s="32" t="n">
        <x:v>0.8103059259259259</x:v>
      </x:c>
      <x:c r="S58" s="29" t="str">
        <x:v>Material shortage</x:v>
      </x:c>
      <x:c r="T58" s="29" t="str">
        <x:v>None</x:v>
      </x:c>
      <x:c r="U58" s="30" t="n">
        <x:v>11</x:v>
      </x:c>
      <x:c r="V58" s="33" t="n">
        <x:v>219.3</x:v>
      </x:c>
      <x:c r="W58" s="34" t="n">
        <x:v>7.1</x:v>
      </x:c>
    </x:row>
    <x:row r="59">
      <x:c r="A59" s="28" t="n">
        <x:v>46223</x:v>
      </x:c>
      <x:c r="B59" s="29" t="str">
        <x:v>W03</x:v>
      </x:c>
      <x:c r="C59" s="29" t="str">
        <x:v>Day</x:v>
      </x:c>
      <x:c r="D59" s="29" t="str">
        <x:v>Line B</x:v>
      </x:c>
      <x:c r="E59" s="29" t="str">
        <x:v>Actuator</x:v>
      </x:c>
      <x:c r="F59" s="29" t="str">
        <x:v>ACT-220</x:v>
      </x:c>
      <x:c r="G59" s="30" t="n">
        <x:v>450</x:v>
      </x:c>
      <x:c r="H59" s="30" t="n">
        <x:v>35</x:v>
      </x:c>
      <x:c r="I59" s="30" t="n">
        <x:v>415</x:v>
      </x:c>
      <x:c r="J59" s="31" t="n">
        <x:v>1.08</x:v>
      </x:c>
      <x:c r="K59" s="30" t="n">
        <x:v>23000</x:v>
      </x:c>
      <x:c r="L59" s="30" t="n">
        <x:v>19400</x:v>
      </x:c>
      <x:c r="M59" s="30" t="n">
        <x:v>18971</x:v>
      </x:c>
      <x:c r="N59" s="30" t="n">
        <x:v>429</x:v>
      </x:c>
      <x:c r="O59" s="32" t="n">
        <x:v>0.9222222222222223</x:v>
      </x:c>
      <x:c r="P59" s="32" t="n">
        <x:v>0.8414457831325302</x:v>
      </x:c>
      <x:c r="Q59" s="32" t="n">
        <x:v>0.9778865979381444</x:v>
      </x:c>
      <x:c r="R59" s="32" t="n">
        <x:v>0.7588400000000002</x:v>
      </x:c>
      <x:c r="S59" s="29" t="str">
        <x:v>Quality check</x:v>
      </x:c>
      <x:c r="T59" s="29" t="str">
        <x:v>Leak test</x:v>
      </x:c>
      <x:c r="U59" s="30" t="n">
        <x:v>10</x:v>
      </x:c>
      <x:c r="V59" s="33" t="n">
        <x:v>158</x:v>
      </x:c>
      <x:c r="W59" s="34" t="n">
        <x:v>6.9</x:v>
      </x:c>
    </x:row>
    <x:row r="60">
      <x:c r="A60" s="28" t="n">
        <x:v>46223</x:v>
      </x:c>
      <x:c r="B60" s="29" t="str">
        <x:v>W03</x:v>
      </x:c>
      <x:c r="C60" s="29" t="str">
        <x:v>Late</x:v>
      </x:c>
      <x:c r="D60" s="29" t="str">
        <x:v>Line C</x:v>
      </x:c>
      <x:c r="E60" s="29" t="str">
        <x:v>Barrier Pack</x:v>
      </x:c>
      <x:c r="F60" s="29" t="str">
        <x:v>BPK-310</x:v>
      </x:c>
      <x:c r="G60" s="30" t="n">
        <x:v>450</x:v>
      </x:c>
      <x:c r="H60" s="30" t="n">
        <x:v>60</x:v>
      </x:c>
      <x:c r="I60" s="30" t="n">
        <x:v>390</x:v>
      </x:c>
      <x:c r="J60" s="31" t="n">
        <x:v>1.22</x:v>
      </x:c>
      <x:c r="K60" s="30" t="n">
        <x:v>20361</x:v>
      </x:c>
      <x:c r="L60" s="30" t="n">
        <x:v>18051</x:v>
      </x:c>
      <x:c r="M60" s="30" t="n">
        <x:v>17876</x:v>
      </x:c>
      <x:c r="N60" s="30" t="n">
        <x:v>175</x:v>
      </x:c>
      <x:c r="O60" s="32" t="n">
        <x:v>0.8666666666666667</x:v>
      </x:c>
      <x:c r="P60" s="32" t="n">
        <x:v>0.9411205128205129</x:v>
      </x:c>
      <x:c r="Q60" s="32" t="n">
        <x:v>0.9903052462467453</x:v>
      </x:c>
      <x:c r="R60" s="32" t="n">
        <x:v>0.8077303703703704</x:v>
      </x:c>
      <x:c r="S60" s="29" t="str">
        <x:v>Mechanical fault</x:v>
      </x:c>
      <x:c r="T60" s="29" t="str">
        <x:v>None</x:v>
      </x:c>
      <x:c r="U60" s="30" t="n">
        <x:v>25</x:v>
      </x:c>
      <x:c r="V60" s="33" t="n">
        <x:v>219.7</x:v>
      </x:c>
      <x:c r="W60" s="34" t="n">
        <x:v>6.5</x:v>
      </x:c>
    </x:row>
    <x:row r="61">
      <x:c r="A61" s="28" t="n">
        <x:v>46223</x:v>
      </x:c>
      <x:c r="B61" s="29" t="str">
        <x:v>W03</x:v>
      </x:c>
      <x:c r="C61" s="29" t="str">
        <x:v>Night</x:v>
      </x:c>
      <x:c r="D61" s="29" t="str">
        <x:v>Line A</x:v>
      </x:c>
      <x:c r="E61" s="29" t="str">
        <x:v>Valve</x:v>
      </x:c>
      <x:c r="F61" s="29" t="str">
        <x:v>VAL-100</x:v>
      </x:c>
      <x:c r="G61" s="30" t="n">
        <x:v>450</x:v>
      </x:c>
      <x:c r="H61" s="30" t="n">
        <x:v>62</x:v>
      </x:c>
      <x:c r="I61" s="30" t="n">
        <x:v>388</x:v>
      </x:c>
      <x:c r="J61" s="31" t="n">
        <x:v>0.96</x:v>
      </x:c>
      <x:c r="K61" s="30" t="n">
        <x:v>25875</x:v>
      </x:c>
      <x:c r="L61" s="30" t="n">
        <x:v>23191</x:v>
      </x:c>
      <x:c r="M61" s="30" t="n">
        <x:v>22512</x:v>
      </x:c>
      <x:c r="N61" s="30" t="n">
        <x:v>679</x:v>
      </x:c>
      <x:c r="O61" s="32" t="n">
        <x:v>0.8622222222222222</x:v>
      </x:c>
      <x:c r="P61" s="32" t="n">
        <x:v>0.9563298969072165</x:v>
      </x:c>
      <x:c r="Q61" s="32" t="n">
        <x:v>0.9707214005433142</x:v>
      </x:c>
      <x:c r="R61" s="32" t="n">
        <x:v>0.8004266666666667</x:v>
      </x:c>
      <x:c r="S61" s="29" t="str">
        <x:v>Material shortage</x:v>
      </x:c>
      <x:c r="T61" s="29" t="str">
        <x:v>Leak test</x:v>
      </x:c>
      <x:c r="U61" s="30" t="n">
        <x:v>17</x:v>
      </x:c>
      <x:c r="V61" s="33" t="n">
        <x:v>156</x:v>
      </x:c>
      <x:c r="W61" s="34" t="n">
        <x:v>6.5</x:v>
      </x:c>
    </x:row>
    <x:row r="62">
      <x:c r="A62" s="28" t="n">
        <x:v>46224</x:v>
      </x:c>
      <x:c r="B62" s="29" t="str">
        <x:v>W03</x:v>
      </x:c>
      <x:c r="C62" s="29" t="str">
        <x:v>Day</x:v>
      </x:c>
      <x:c r="D62" s="29" t="str">
        <x:v>Line C</x:v>
      </x:c>
      <x:c r="E62" s="29" t="str">
        <x:v>Barrier Pack</x:v>
      </x:c>
      <x:c r="F62" s="29" t="str">
        <x:v>BPK-310</x:v>
      </x:c>
      <x:c r="G62" s="30" t="n">
        <x:v>450</x:v>
      </x:c>
      <x:c r="H62" s="30" t="n">
        <x:v>27</x:v>
      </x:c>
      <x:c r="I62" s="30" t="n">
        <x:v>423</x:v>
      </x:c>
      <x:c r="J62" s="31" t="n">
        <x:v>1.22</x:v>
      </x:c>
      <x:c r="K62" s="30" t="n">
        <x:v>20361</x:v>
      </x:c>
      <x:c r="L62" s="30" t="n">
        <x:v>19430</x:v>
      </x:c>
      <x:c r="M62" s="30" t="n">
        <x:v>18867</x:v>
      </x:c>
      <x:c r="N62" s="30" t="n">
        <x:v>563</x:v>
      </x:c>
      <x:c r="O62" s="32" t="n">
        <x:v>0.94</x:v>
      </x:c>
      <x:c r="P62" s="32" t="n">
        <x:v>0.9339873916469661</x:v>
      </x:c>
      <x:c r="Q62" s="32" t="n">
        <x:v>0.9710241893978384</x:v>
      </x:c>
      <x:c r="R62" s="32" t="n">
        <x:v>0.8525088888888888</x:v>
      </x:c>
      <x:c r="S62" s="29" t="str">
        <x:v>Changeover</x:v>
      </x:c>
      <x:c r="T62" s="29" t="str">
        <x:v>Cosmetic</x:v>
      </x:c>
      <x:c r="U62" s="30" t="n">
        <x:v>14</x:v>
      </x:c>
      <x:c r="V62" s="33" t="n">
        <x:v>145</x:v>
      </x:c>
      <x:c r="W62" s="34" t="n">
        <x:v>7.1</x:v>
      </x:c>
    </x:row>
    <x:row r="63">
      <x:c r="A63" s="28" t="n">
        <x:v>46224</x:v>
      </x:c>
      <x:c r="B63" s="29" t="str">
        <x:v>W03</x:v>
      </x:c>
      <x:c r="C63" s="29" t="str">
        <x:v>Late</x:v>
      </x:c>
      <x:c r="D63" s="29" t="str">
        <x:v>Line A</x:v>
      </x:c>
      <x:c r="E63" s="29" t="str">
        <x:v>Valve</x:v>
      </x:c>
      <x:c r="F63" s="29" t="str">
        <x:v>VAL-100</x:v>
      </x:c>
      <x:c r="G63" s="30" t="n">
        <x:v>450</x:v>
      </x:c>
      <x:c r="H63" s="30" t="n">
        <x:v>58</x:v>
      </x:c>
      <x:c r="I63" s="30" t="n">
        <x:v>392</x:v>
      </x:c>
      <x:c r="J63" s="31" t="n">
        <x:v>0.96</x:v>
      </x:c>
      <x:c r="K63" s="30" t="n">
        <x:v>25875</x:v>
      </x:c>
      <x:c r="L63" s="30" t="n">
        <x:v>21629</x:v>
      </x:c>
      <x:c r="M63" s="30" t="n">
        <x:v>21140</x:v>
      </x:c>
      <x:c r="N63" s="30" t="n">
        <x:v>489</x:v>
      </x:c>
      <x:c r="O63" s="32" t="n">
        <x:v>0.8711111111111111</x:v>
      </x:c>
      <x:c r="P63" s="32" t="n">
        <x:v>0.8828163265306123</x:v>
      </x:c>
      <x:c r="Q63" s="32" t="n">
        <x:v>0.9773914651625133</x:v>
      </x:c>
      <x:c r="R63" s="32" t="n">
        <x:v>0.7516444444444444</x:v>
      </x:c>
      <x:c r="S63" s="29" t="str">
        <x:v>Cleaning</x:v>
      </x:c>
      <x:c r="T63" s="29" t="str">
        <x:v>Cosmetic</x:v>
      </x:c>
      <x:c r="U63" s="30" t="n">
        <x:v>30</x:v>
      </x:c>
      <x:c r="V63" s="33" t="n">
        <x:v>191.2</x:v>
      </x:c>
      <x:c r="W63" s="34" t="n">
        <x:v>6.5</x:v>
      </x:c>
    </x:row>
    <x:row r="64">
      <x:c r="A64" s="28" t="n">
        <x:v>46224</x:v>
      </x:c>
      <x:c r="B64" s="29" t="str">
        <x:v>W03</x:v>
      </x:c>
      <x:c r="C64" s="29" t="str">
        <x:v>Night</x:v>
      </x:c>
      <x:c r="D64" s="29" t="str">
        <x:v>Line B</x:v>
      </x:c>
      <x:c r="E64" s="29" t="str">
        <x:v>Actuator</x:v>
      </x:c>
      <x:c r="F64" s="29" t="str">
        <x:v>ACT-220</x:v>
      </x:c>
      <x:c r="G64" s="30" t="n">
        <x:v>450</x:v>
      </x:c>
      <x:c r="H64" s="30" t="n">
        <x:v>51</x:v>
      </x:c>
      <x:c r="I64" s="30" t="n">
        <x:v>399</x:v>
      </x:c>
      <x:c r="J64" s="31" t="n">
        <x:v>1.08</x:v>
      </x:c>
      <x:c r="K64" s="30" t="n">
        <x:v>23000</x:v>
      </x:c>
      <x:c r="L64" s="30" t="n">
        <x:v>18851</x:v>
      </x:c>
      <x:c r="M64" s="30" t="n">
        <x:v>18479</x:v>
      </x:c>
      <x:c r="N64" s="30" t="n">
        <x:v>372</x:v>
      </x:c>
      <x:c r="O64" s="32" t="n">
        <x:v>0.8866666666666667</x:v>
      </x:c>
      <x:c r="P64" s="32" t="n">
        <x:v>0.850421052631579</x:v>
      </x:c>
      <x:c r="Q64" s="32" t="n">
        <x:v>0.9802662988700864</x:v>
      </x:c>
      <x:c r="R64" s="32" t="n">
        <x:v>0.73916</x:v>
      </x:c>
      <x:c r="S64" s="29" t="str">
        <x:v>Material shortage</x:v>
      </x:c>
      <x:c r="T64" s="29" t="str">
        <x:v>Seal</x:v>
      </x:c>
      <x:c r="U64" s="30" t="n">
        <x:v>19</x:v>
      </x:c>
      <x:c r="V64" s="33" t="n">
        <x:v>179.1</x:v>
      </x:c>
      <x:c r="W64" s="34" t="n">
        <x:v>6.7</x:v>
      </x:c>
    </x:row>
    <x:row r="65">
      <x:c r="A65" s="28" t="n">
        <x:v>46225</x:v>
      </x:c>
      <x:c r="B65" s="29" t="str">
        <x:v>W04</x:v>
      </x:c>
      <x:c r="C65" s="29" t="str">
        <x:v>Day</x:v>
      </x:c>
      <x:c r="D65" s="29" t="str">
        <x:v>Line A</x:v>
      </x:c>
      <x:c r="E65" s="29" t="str">
        <x:v>Valve</x:v>
      </x:c>
      <x:c r="F65" s="29" t="str">
        <x:v>VAL-100</x:v>
      </x:c>
      <x:c r="G65" s="30" t="n">
        <x:v>450</x:v>
      </x:c>
      <x:c r="H65" s="30" t="n">
        <x:v>48</x:v>
      </x:c>
      <x:c r="I65" s="30" t="n">
        <x:v>402</x:v>
      </x:c>
      <x:c r="J65" s="31" t="n">
        <x:v>0.96</x:v>
      </x:c>
      <x:c r="K65" s="30" t="n">
        <x:v>25875</x:v>
      </x:c>
      <x:c r="L65" s="30" t="n">
        <x:v>23822</x:v>
      </x:c>
      <x:c r="M65" s="30" t="n">
        <x:v>23247</x:v>
      </x:c>
      <x:c r="N65" s="30" t="n">
        <x:v>575</x:v>
      </x:c>
      <x:c r="O65" s="32" t="n">
        <x:v>0.8933333333333333</x:v>
      </x:c>
      <x:c r="P65" s="32" t="n">
        <x:v>0.948139303482587</x:v>
      </x:c>
      <x:c r="Q65" s="32" t="n">
        <x:v>0.9758626479724625</x:v>
      </x:c>
      <x:c r="R65" s="32" t="n">
        <x:v>0.82656</x:v>
      </x:c>
      <x:c r="S65" s="29" t="str">
        <x:v>Changeover</x:v>
      </x:c>
      <x:c r="T65" s="29" t="str">
        <x:v>Dimension</x:v>
      </x:c>
      <x:c r="U65" s="30" t="n">
        <x:v>21</x:v>
      </x:c>
      <x:c r="V65" s="33" t="n">
        <x:v>199.5</x:v>
      </x:c>
      <x:c r="W65" s="34" t="n">
        <x:v>6.7</x:v>
      </x:c>
    </x:row>
    <x:row r="66">
      <x:c r="A66" s="28" t="n">
        <x:v>46225</x:v>
      </x:c>
      <x:c r="B66" s="29" t="str">
        <x:v>W04</x:v>
      </x:c>
      <x:c r="C66" s="29" t="str">
        <x:v>Late</x:v>
      </x:c>
      <x:c r="D66" s="29" t="str">
        <x:v>Line B</x:v>
      </x:c>
      <x:c r="E66" s="29" t="str">
        <x:v>Actuator</x:v>
      </x:c>
      <x:c r="F66" s="29" t="str">
        <x:v>ACT-220</x:v>
      </x:c>
      <x:c r="G66" s="30" t="n">
        <x:v>450</x:v>
      </x:c>
      <x:c r="H66" s="30" t="n">
        <x:v>18</x:v>
      </x:c>
      <x:c r="I66" s="30" t="n">
        <x:v>432</x:v>
      </x:c>
      <x:c r="J66" s="31" t="n">
        <x:v>1.08</x:v>
      </x:c>
      <x:c r="K66" s="30" t="n">
        <x:v>23000</x:v>
      </x:c>
      <x:c r="L66" s="30" t="n">
        <x:v>22626</x:v>
      </x:c>
      <x:c r="M66" s="30" t="n">
        <x:v>22154</x:v>
      </x:c>
      <x:c r="N66" s="30" t="n">
        <x:v>472</x:v>
      </x:c>
      <x:c r="O66" s="32" t="n">
        <x:v>0.96</x:v>
      </x:c>
      <x:c r="P66" s="32" t="n">
        <x:v>0.9427500000000001</x:v>
      </x:c>
      <x:c r="Q66" s="32" t="n">
        <x:v>0.9791390435781844</x:v>
      </x:c>
      <x:c r="R66" s="32" t="n">
        <x:v>0.8861600000000001</x:v>
      </x:c>
      <x:c r="S66" s="29" t="str">
        <x:v>Changeover</x:v>
      </x:c>
      <x:c r="T66" s="29" t="str">
        <x:v>Cosmetic</x:v>
      </x:c>
      <x:c r="U66" s="30" t="n">
        <x:v>10</x:v>
      </x:c>
      <x:c r="V66" s="33" t="n">
        <x:v>214.8</x:v>
      </x:c>
      <x:c r="W66" s="34" t="n">
        <x:v>7.2</x:v>
      </x:c>
    </x:row>
    <x:row r="67">
      <x:c r="A67" s="28" t="n">
        <x:v>46225</x:v>
      </x:c>
      <x:c r="B67" s="29" t="str">
        <x:v>W04</x:v>
      </x:c>
      <x:c r="C67" s="29" t="str">
        <x:v>Night</x:v>
      </x:c>
      <x:c r="D67" s="29" t="str">
        <x:v>Line C</x:v>
      </x:c>
      <x:c r="E67" s="29" t="str">
        <x:v>Barrier Pack</x:v>
      </x:c>
      <x:c r="F67" s="29" t="str">
        <x:v>BPK-310</x:v>
      </x:c>
      <x:c r="G67" s="30" t="n">
        <x:v>450</x:v>
      </x:c>
      <x:c r="H67" s="30" t="n">
        <x:v>48</x:v>
      </x:c>
      <x:c r="I67" s="30" t="n">
        <x:v>402</x:v>
      </x:c>
      <x:c r="J67" s="31" t="n">
        <x:v>1.22</x:v>
      </x:c>
      <x:c r="K67" s="30" t="n">
        <x:v>20361</x:v>
      </x:c>
      <x:c r="L67" s="30" t="n">
        <x:v>19168</x:v>
      </x:c>
      <x:c r="M67" s="30" t="n">
        <x:v>18838</x:v>
      </x:c>
      <x:c r="N67" s="30" t="n">
        <x:v>330</x:v>
      </x:c>
      <x:c r="O67" s="32" t="n">
        <x:v>0.8933333333333333</x:v>
      </x:c>
      <x:c r="P67" s="32" t="n">
        <x:v>0.9695257048092869</x:v>
      </x:c>
      <x:c r="Q67" s="32" t="n">
        <x:v>0.9827838063439065</x:v>
      </x:c>
      <x:c r="R67" s="32" t="n">
        <x:v>0.8511985185185185</x:v>
      </x:c>
      <x:c r="S67" s="29" t="str">
        <x:v>Quality check</x:v>
      </x:c>
      <x:c r="T67" s="29" t="str">
        <x:v>None</x:v>
      </x:c>
      <x:c r="U67" s="30" t="n">
        <x:v>19</x:v>
      </x:c>
      <x:c r="V67" s="33" t="n">
        <x:v>186.8</x:v>
      </x:c>
      <x:c r="W67" s="34" t="n">
        <x:v>6.7</x:v>
      </x:c>
    </x:row>
    <x:row r="68">
      <x:c r="A68" s="28" t="n">
        <x:v>46226</x:v>
      </x:c>
      <x:c r="B68" s="29" t="str">
        <x:v>W04</x:v>
      </x:c>
      <x:c r="C68" s="29" t="str">
        <x:v>Day</x:v>
      </x:c>
      <x:c r="D68" s="29" t="str">
        <x:v>Line B</x:v>
      </x:c>
      <x:c r="E68" s="29" t="str">
        <x:v>Actuator</x:v>
      </x:c>
      <x:c r="F68" s="29" t="str">
        <x:v>ACT-220</x:v>
      </x:c>
      <x:c r="G68" s="30" t="n">
        <x:v>450</x:v>
      </x:c>
      <x:c r="H68" s="30" t="n">
        <x:v>33</x:v>
      </x:c>
      <x:c r="I68" s="30" t="n">
        <x:v>417</x:v>
      </x:c>
      <x:c r="J68" s="31" t="n">
        <x:v>1.08</x:v>
      </x:c>
      <x:c r="K68" s="30" t="n">
        <x:v>23000</x:v>
      </x:c>
      <x:c r="L68" s="30" t="n">
        <x:v>20456</x:v>
      </x:c>
      <x:c r="M68" s="30" t="n">
        <x:v>20085</x:v>
      </x:c>
      <x:c r="N68" s="30" t="n">
        <x:v>371</x:v>
      </x:c>
      <x:c r="O68" s="32" t="n">
        <x:v>0.9266666666666666</x:v>
      </x:c>
      <x:c r="P68" s="32" t="n">
        <x:v>0.8829928057553958</x:v>
      </x:c>
      <x:c r="Q68" s="32" t="n">
        <x:v>0.9818635119280407</x:v>
      </x:c>
      <x:c r="R68" s="32" t="n">
        <x:v>0.8034000000000001</x:v>
      </x:c>
      <x:c r="S68" s="29" t="str">
        <x:v>Sensor fault</x:v>
      </x:c>
      <x:c r="T68" s="29" t="str">
        <x:v>Dimension</x:v>
      </x:c>
      <x:c r="U68" s="30" t="n">
        <x:v>23</x:v>
      </x:c>
      <x:c r="V68" s="33" t="n">
        <x:v>184.2</x:v>
      </x:c>
      <x:c r="W68" s="34" t="n">
        <x:v>7</x:v>
      </x:c>
    </x:row>
    <x:row r="69">
      <x:c r="A69" s="28" t="n">
        <x:v>46226</x:v>
      </x:c>
      <x:c r="B69" s="29" t="str">
        <x:v>W04</x:v>
      </x:c>
      <x:c r="C69" s="29" t="str">
        <x:v>Late</x:v>
      </x:c>
      <x:c r="D69" s="29" t="str">
        <x:v>Line C</x:v>
      </x:c>
      <x:c r="E69" s="29" t="str">
        <x:v>Barrier Pack</x:v>
      </x:c>
      <x:c r="F69" s="29" t="str">
        <x:v>BPK-310</x:v>
      </x:c>
      <x:c r="G69" s="30" t="n">
        <x:v>450</x:v>
      </x:c>
      <x:c r="H69" s="30" t="n">
        <x:v>69</x:v>
      </x:c>
      <x:c r="I69" s="30" t="n">
        <x:v>381</x:v>
      </x:c>
      <x:c r="J69" s="31" t="n">
        <x:v>1.22</x:v>
      </x:c>
      <x:c r="K69" s="30" t="n">
        <x:v>20361</x:v>
      </x:c>
      <x:c r="L69" s="30" t="n">
        <x:v>17508</x:v>
      </x:c>
      <x:c r="M69" s="30" t="n">
        <x:v>17227</x:v>
      </x:c>
      <x:c r="N69" s="30" t="n">
        <x:v>281</x:v>
      </x:c>
      <x:c r="O69" s="32" t="n">
        <x:v>0.8466666666666667</x:v>
      </x:c>
      <x:c r="P69" s="32" t="n">
        <x:v>0.9343727034120735</x:v>
      </x:c>
      <x:c r="Q69" s="32" t="n">
        <x:v>0.9839501941969385</x:v>
      </x:c>
      <x:c r="R69" s="32" t="n">
        <x:v>0.7784051851851851</x:v>
      </x:c>
      <x:c r="S69" s="29" t="str">
        <x:v>Cleaning</x:v>
      </x:c>
      <x:c r="T69" s="29" t="str">
        <x:v>None</x:v>
      </x:c>
      <x:c r="U69" s="30" t="n">
        <x:v>26</x:v>
      </x:c>
      <x:c r="V69" s="33" t="n">
        <x:v>222.2</x:v>
      </x:c>
      <x:c r="W69" s="34" t="n">
        <x:v>6.4</x:v>
      </x:c>
    </x:row>
    <x:row r="70">
      <x:c r="A70" s="28" t="n">
        <x:v>46226</x:v>
      </x:c>
      <x:c r="B70" s="29" t="str">
        <x:v>W04</x:v>
      </x:c>
      <x:c r="C70" s="29" t="str">
        <x:v>Night</x:v>
      </x:c>
      <x:c r="D70" s="29" t="str">
        <x:v>Line A</x:v>
      </x:c>
      <x:c r="E70" s="29" t="str">
        <x:v>Valve</x:v>
      </x:c>
      <x:c r="F70" s="29" t="str">
        <x:v>VAL-100</x:v>
      </x:c>
      <x:c r="G70" s="30" t="n">
        <x:v>450</x:v>
      </x:c>
      <x:c r="H70" s="30" t="n">
        <x:v>45</x:v>
      </x:c>
      <x:c r="I70" s="30" t="n">
        <x:v>405</x:v>
      </x:c>
      <x:c r="J70" s="31" t="n">
        <x:v>0.96</x:v>
      </x:c>
      <x:c r="K70" s="30" t="n">
        <x:v>25875</x:v>
      </x:c>
      <x:c r="L70" s="30" t="n">
        <x:v>22897</x:v>
      </x:c>
      <x:c r="M70" s="30" t="n">
        <x:v>22445</x:v>
      </x:c>
      <x:c r="N70" s="30" t="n">
        <x:v>452</x:v>
      </x:c>
      <x:c r="O70" s="32" t="n">
        <x:v>0.9</x:v>
      </x:c>
      <x:c r="P70" s="32" t="n">
        <x:v>0.9045728395061728</x:v>
      </x:c>
      <x:c r="Q70" s="32" t="n">
        <x:v>0.9802594226317858</x:v>
      </x:c>
      <x:c r="R70" s="32" t="n">
        <x:v>0.7980444444444444</x:v>
      </x:c>
      <x:c r="S70" s="29" t="str">
        <x:v>Sensor fault</x:v>
      </x:c>
      <x:c r="T70" s="29" t="str">
        <x:v>Leak test</x:v>
      </x:c>
      <x:c r="U70" s="30" t="n">
        <x:v>22</x:v>
      </x:c>
      <x:c r="V70" s="33" t="n">
        <x:v>156.6</x:v>
      </x:c>
      <x:c r="W70" s="34" t="n">
        <x:v>6.8</x:v>
      </x:c>
    </x:row>
    <x:row r="71">
      <x:c r="A71" s="28" t="n">
        <x:v>46227</x:v>
      </x:c>
      <x:c r="B71" s="29" t="str">
        <x:v>W04</x:v>
      </x:c>
      <x:c r="C71" s="29" t="str">
        <x:v>Day</x:v>
      </x:c>
      <x:c r="D71" s="29" t="str">
        <x:v>Line C</x:v>
      </x:c>
      <x:c r="E71" s="29" t="str">
        <x:v>Barrier Pack</x:v>
      </x:c>
      <x:c r="F71" s="29" t="str">
        <x:v>BPK-310</x:v>
      </x:c>
      <x:c r="G71" s="30" t="n">
        <x:v>450</x:v>
      </x:c>
      <x:c r="H71" s="30" t="n">
        <x:v>16</x:v>
      </x:c>
      <x:c r="I71" s="30" t="n">
        <x:v>434</x:v>
      </x:c>
      <x:c r="J71" s="31" t="n">
        <x:v>1.22</x:v>
      </x:c>
      <x:c r="K71" s="30" t="n">
        <x:v>20361</x:v>
      </x:c>
      <x:c r="L71" s="30" t="n">
        <x:v>19617</x:v>
      </x:c>
      <x:c r="M71" s="30" t="n">
        <x:v>19082</x:v>
      </x:c>
      <x:c r="N71" s="30" t="n">
        <x:v>535</x:v>
      </x:c>
      <x:c r="O71" s="32" t="n">
        <x:v>0.9644444444444444</x:v>
      </x:c>
      <x:c r="P71" s="32" t="n">
        <x:v>0.9190760368663594</x:v>
      </x:c>
      <x:c r="Q71" s="32" t="n">
        <x:v>0.9727277361472193</x:v>
      </x:c>
      <x:c r="R71" s="32" t="n">
        <x:v>0.8622237037037037</x:v>
      </x:c>
      <x:c r="S71" s="29" t="str">
        <x:v>Mechanical fault</x:v>
      </x:c>
      <x:c r="T71" s="29" t="str">
        <x:v>Leak test</x:v>
      </x:c>
      <x:c r="U71" s="30" t="n">
        <x:v>9</x:v>
      </x:c>
      <x:c r="V71" s="33" t="n">
        <x:v>174.2</x:v>
      </x:c>
      <x:c r="W71" s="34" t="n">
        <x:v>7.2</x:v>
      </x:c>
    </x:row>
    <x:row r="72">
      <x:c r="A72" s="28" t="n">
        <x:v>46227</x:v>
      </x:c>
      <x:c r="B72" s="29" t="str">
        <x:v>W04</x:v>
      </x:c>
      <x:c r="C72" s="29" t="str">
        <x:v>Late</x:v>
      </x:c>
      <x:c r="D72" s="29" t="str">
        <x:v>Line A</x:v>
      </x:c>
      <x:c r="E72" s="29" t="str">
        <x:v>Valve</x:v>
      </x:c>
      <x:c r="F72" s="29" t="str">
        <x:v>VAL-100</x:v>
      </x:c>
      <x:c r="G72" s="30" t="n">
        <x:v>450</x:v>
      </x:c>
      <x:c r="H72" s="30" t="n">
        <x:v>53</x:v>
      </x:c>
      <x:c r="I72" s="30" t="n">
        <x:v>397</x:v>
      </x:c>
      <x:c r="J72" s="31" t="n">
        <x:v>0.96</x:v>
      </x:c>
      <x:c r="K72" s="30" t="n">
        <x:v>25875</x:v>
      </x:c>
      <x:c r="L72" s="30" t="n">
        <x:v>23931</x:v>
      </x:c>
      <x:c r="M72" s="30" t="n">
        <x:v>23193</x:v>
      </x:c>
      <x:c r="N72" s="30" t="n">
        <x:v>738</x:v>
      </x:c>
      <x:c r="O72" s="32" t="n">
        <x:v>0.8822222222222222</x:v>
      </x:c>
      <x:c r="P72" s="32" t="n">
        <x:v>0.9644735516372795</x:v>
      </x:c>
      <x:c r="Q72" s="32" t="n">
        <x:v>0.9691613388491914</x:v>
      </x:c>
      <x:c r="R72" s="32" t="n">
        <x:v>0.8246399999999999</x:v>
      </x:c>
      <x:c r="S72" s="29" t="str">
        <x:v>Quality check</x:v>
      </x:c>
      <x:c r="T72" s="29" t="str">
        <x:v>Assembly</x:v>
      </x:c>
      <x:c r="U72" s="30" t="n">
        <x:v>11</x:v>
      </x:c>
      <x:c r="V72" s="33" t="n">
        <x:v>186.8</x:v>
      </x:c>
      <x:c r="W72" s="34" t="n">
        <x:v>6.6</x:v>
      </x:c>
    </x:row>
    <x:row r="73">
      <x:c r="A73" s="28" t="n">
        <x:v>46227</x:v>
      </x:c>
      <x:c r="B73" s="29" t="str">
        <x:v>W04</x:v>
      </x:c>
      <x:c r="C73" s="29" t="str">
        <x:v>Night</x:v>
      </x:c>
      <x:c r="D73" s="29" t="str">
        <x:v>Line B</x:v>
      </x:c>
      <x:c r="E73" s="29" t="str">
        <x:v>Actuator</x:v>
      </x:c>
      <x:c r="F73" s="29" t="str">
        <x:v>ACT-220</x:v>
      </x:c>
      <x:c r="G73" s="30" t="n">
        <x:v>450</x:v>
      </x:c>
      <x:c r="H73" s="30" t="n">
        <x:v>64</x:v>
      </x:c>
      <x:c r="I73" s="30" t="n">
        <x:v>386</x:v>
      </x:c>
      <x:c r="J73" s="31" t="n">
        <x:v>1.08</x:v>
      </x:c>
      <x:c r="K73" s="30" t="n">
        <x:v>23000</x:v>
      </x:c>
      <x:c r="L73" s="30" t="n">
        <x:v>18162</x:v>
      </x:c>
      <x:c r="M73" s="30" t="n">
        <x:v>17691</x:v>
      </x:c>
      <x:c r="N73" s="30" t="n">
        <x:v>471</x:v>
      </x:c>
      <x:c r="O73" s="32" t="n">
        <x:v>0.8577777777777778</x:v>
      </x:c>
      <x:c r="P73" s="32" t="n">
        <x:v>0.8469326424870468</x:v>
      </x:c>
      <x:c r="Q73" s="32" t="n">
        <x:v>0.9740667327386852</x:v>
      </x:c>
      <x:c r="R73" s="32" t="n">
        <x:v>0.7076400000000002</x:v>
      </x:c>
      <x:c r="S73" s="29" t="str">
        <x:v>Quality check</x:v>
      </x:c>
      <x:c r="T73" s="29" t="str">
        <x:v>Dimension</x:v>
      </x:c>
      <x:c r="U73" s="30" t="n">
        <x:v>25</x:v>
      </x:c>
      <x:c r="V73" s="33" t="n">
        <x:v>194.7</x:v>
      </x:c>
      <x:c r="W73" s="34" t="n">
        <x:v>6.4</x:v>
      </x:c>
    </x:row>
    <x:row r="74">
      <x:c r="A74" s="28" t="n">
        <x:v>46228</x:v>
      </x:c>
      <x:c r="B74" s="29" t="str">
        <x:v>W04</x:v>
      </x:c>
      <x:c r="C74" s="29" t="str">
        <x:v>Day</x:v>
      </x:c>
      <x:c r="D74" s="29" t="str">
        <x:v>Line A</x:v>
      </x:c>
      <x:c r="E74" s="29" t="str">
        <x:v>Valve</x:v>
      </x:c>
      <x:c r="F74" s="29" t="str">
        <x:v>VAL-100</x:v>
      </x:c>
      <x:c r="G74" s="30" t="n">
        <x:v>450</x:v>
      </x:c>
      <x:c r="H74" s="30" t="n">
        <x:v>70</x:v>
      </x:c>
      <x:c r="I74" s="30" t="n">
        <x:v>380</x:v>
      </x:c>
      <x:c r="J74" s="31" t="n">
        <x:v>0.96</x:v>
      </x:c>
      <x:c r="K74" s="30" t="n">
        <x:v>25875</x:v>
      </x:c>
      <x:c r="L74" s="30" t="n">
        <x:v>22427</x:v>
      </x:c>
      <x:c r="M74" s="30" t="n">
        <x:v>21745</x:v>
      </x:c>
      <x:c r="N74" s="30" t="n">
        <x:v>682</x:v>
      </x:c>
      <x:c r="O74" s="32" t="n">
        <x:v>0.8444444444444444</x:v>
      </x:c>
      <x:c r="P74" s="32" t="n">
        <x:v>0.9442947368421052</x:v>
      </x:c>
      <x:c r="Q74" s="32" t="n">
        <x:v>0.9695902260667945</x:v>
      </x:c>
      <x:c r="R74" s="32" t="n">
        <x:v>0.7731555555555555</x:v>
      </x:c>
      <x:c r="S74" s="29" t="str">
        <x:v>Cleaning</x:v>
      </x:c>
      <x:c r="T74" s="29" t="str">
        <x:v>Assembly</x:v>
      </x:c>
      <x:c r="U74" s="30" t="n">
        <x:v>27</x:v>
      </x:c>
      <x:c r="V74" s="33" t="n">
        <x:v>147.2</x:v>
      </x:c>
      <x:c r="W74" s="34" t="n">
        <x:v>6.3</x:v>
      </x:c>
    </x:row>
    <x:row r="75">
      <x:c r="A75" s="28" t="n">
        <x:v>46228</x:v>
      </x:c>
      <x:c r="B75" s="29" t="str">
        <x:v>W04</x:v>
      </x:c>
      <x:c r="C75" s="29" t="str">
        <x:v>Late</x:v>
      </x:c>
      <x:c r="D75" s="29" t="str">
        <x:v>Line B</x:v>
      </x:c>
      <x:c r="E75" s="29" t="str">
        <x:v>Actuator</x:v>
      </x:c>
      <x:c r="F75" s="29" t="str">
        <x:v>ACT-220</x:v>
      </x:c>
      <x:c r="G75" s="30" t="n">
        <x:v>450</x:v>
      </x:c>
      <x:c r="H75" s="30" t="n">
        <x:v>48</x:v>
      </x:c>
      <x:c r="I75" s="30" t="n">
        <x:v>402</x:v>
      </x:c>
      <x:c r="J75" s="31" t="n">
        <x:v>1.08</x:v>
      </x:c>
      <x:c r="K75" s="30" t="n">
        <x:v>23000</x:v>
      </x:c>
      <x:c r="L75" s="30" t="n">
        <x:v>20178</x:v>
      </x:c>
      <x:c r="M75" s="30" t="n">
        <x:v>20032</x:v>
      </x:c>
      <x:c r="N75" s="30" t="n">
        <x:v>146</x:v>
      </x:c>
      <x:c r="O75" s="32" t="n">
        <x:v>0.8933333333333333</x:v>
      </x:c>
      <x:c r="P75" s="32" t="n">
        <x:v>0.9034925373134329</x:v>
      </x:c>
      <x:c r="Q75" s="32" t="n">
        <x:v>0.9927643968678759</x:v>
      </x:c>
      <x:c r="R75" s="32" t="n">
        <x:v>0.80128</x:v>
      </x:c>
      <x:c r="S75" s="29" t="str">
        <x:v>Changeover</x:v>
      </x:c>
      <x:c r="T75" s="29" t="str">
        <x:v>None</x:v>
      </x:c>
      <x:c r="U75" s="30" t="n">
        <x:v>17</x:v>
      </x:c>
      <x:c r="V75" s="33" t="n">
        <x:v>220.9</x:v>
      </x:c>
      <x:c r="W75" s="34" t="n">
        <x:v>6.7</x:v>
      </x:c>
    </x:row>
    <x:row r="76">
      <x:c r="A76" s="28" t="n">
        <x:v>46228</x:v>
      </x:c>
      <x:c r="B76" s="29" t="str">
        <x:v>W04</x:v>
      </x:c>
      <x:c r="C76" s="29" t="str">
        <x:v>Night</x:v>
      </x:c>
      <x:c r="D76" s="29" t="str">
        <x:v>Line C</x:v>
      </x:c>
      <x:c r="E76" s="29" t="str">
        <x:v>Barrier Pack</x:v>
      </x:c>
      <x:c r="F76" s="29" t="str">
        <x:v>BPK-310</x:v>
      </x:c>
      <x:c r="G76" s="30" t="n">
        <x:v>450</x:v>
      </x:c>
      <x:c r="H76" s="30" t="n">
        <x:v>45</x:v>
      </x:c>
      <x:c r="I76" s="30" t="n">
        <x:v>405</x:v>
      </x:c>
      <x:c r="J76" s="31" t="n">
        <x:v>1.22</x:v>
      </x:c>
      <x:c r="K76" s="30" t="n">
        <x:v>20361</x:v>
      </x:c>
      <x:c r="L76" s="30" t="n">
        <x:v>18210</x:v>
      </x:c>
      <x:c r="M76" s="30" t="n">
        <x:v>17698</x:v>
      </x:c>
      <x:c r="N76" s="30" t="n">
        <x:v>512</x:v>
      </x:c>
      <x:c r="O76" s="32" t="n">
        <x:v>0.9</x:v>
      </x:c>
      <x:c r="P76" s="32" t="n">
        <x:v>0.9142469135802469</x:v>
      </x:c>
      <x:c r="Q76" s="32" t="n">
        <x:v>0.971883580450302</x:v>
      </x:c>
      <x:c r="R76" s="32" t="n">
        <x:v>0.7996874074074074</x:v>
      </x:c>
      <x:c r="S76" s="29" t="str">
        <x:v>Changeover</x:v>
      </x:c>
      <x:c r="T76" s="29" t="str">
        <x:v>Dimension</x:v>
      </x:c>
      <x:c r="U76" s="30" t="n">
        <x:v>18</x:v>
      </x:c>
      <x:c r="V76" s="33" t="n">
        <x:v>206.3</x:v>
      </x:c>
      <x:c r="W76" s="34" t="n">
        <x:v>6.8</x:v>
      </x:c>
    </x:row>
    <x:row r="77">
      <x:c r="A77" s="28" t="n">
        <x:v>46229</x:v>
      </x:c>
      <x:c r="B77" s="29" t="str">
        <x:v>W04</x:v>
      </x:c>
      <x:c r="C77" s="29" t="str">
        <x:v>Day</x:v>
      </x:c>
      <x:c r="D77" s="29" t="str">
        <x:v>Line B</x:v>
      </x:c>
      <x:c r="E77" s="29" t="str">
        <x:v>Actuator</x:v>
      </x:c>
      <x:c r="F77" s="29" t="str">
        <x:v>ACT-220</x:v>
      </x:c>
      <x:c r="G77" s="30" t="n">
        <x:v>450</x:v>
      </x:c>
      <x:c r="H77" s="30" t="n">
        <x:v>59</x:v>
      </x:c>
      <x:c r="I77" s="30" t="n">
        <x:v>391</x:v>
      </x:c>
      <x:c r="J77" s="31" t="n">
        <x:v>1.08</x:v>
      </x:c>
      <x:c r="K77" s="30" t="n">
        <x:v>23000</x:v>
      </x:c>
      <x:c r="L77" s="30" t="n">
        <x:v>19427</x:v>
      </x:c>
      <x:c r="M77" s="30" t="n">
        <x:v>19061</x:v>
      </x:c>
      <x:c r="N77" s="30" t="n">
        <x:v>366</x:v>
      </x:c>
      <x:c r="O77" s="32" t="n">
        <x:v>0.8688888888888889</x:v>
      </x:c>
      <x:c r="P77" s="32" t="n">
        <x:v>0.8943375959079284</x:v>
      </x:c>
      <x:c r="Q77" s="32" t="n">
        <x:v>0.9811602409018376</x:v>
      </x:c>
      <x:c r="R77" s="32" t="n">
        <x:v>0.76244</x:v>
      </x:c>
      <x:c r="S77" s="29" t="str">
        <x:v>Quality check</x:v>
      </x:c>
      <x:c r="T77" s="29" t="str">
        <x:v>Seal</x:v>
      </x:c>
      <x:c r="U77" s="30" t="n">
        <x:v>20</x:v>
      </x:c>
      <x:c r="V77" s="33" t="n">
        <x:v>200.1</x:v>
      </x:c>
      <x:c r="W77" s="34" t="n">
        <x:v>6.5</x:v>
      </x:c>
    </x:row>
    <x:row r="78">
      <x:c r="A78" s="28" t="n">
        <x:v>46229</x:v>
      </x:c>
      <x:c r="B78" s="29" t="str">
        <x:v>W04</x:v>
      </x:c>
      <x:c r="C78" s="29" t="str">
        <x:v>Late</x:v>
      </x:c>
      <x:c r="D78" s="29" t="str">
        <x:v>Line C</x:v>
      </x:c>
      <x:c r="E78" s="29" t="str">
        <x:v>Barrier Pack</x:v>
      </x:c>
      <x:c r="F78" s="29" t="str">
        <x:v>BPK-310</x:v>
      </x:c>
      <x:c r="G78" s="30" t="n">
        <x:v>450</x:v>
      </x:c>
      <x:c r="H78" s="30" t="n">
        <x:v>43</x:v>
      </x:c>
      <x:c r="I78" s="30" t="n">
        <x:v>407</x:v>
      </x:c>
      <x:c r="J78" s="31" t="n">
        <x:v>1.22</x:v>
      </x:c>
      <x:c r="K78" s="30" t="n">
        <x:v>20361</x:v>
      </x:c>
      <x:c r="L78" s="30" t="n">
        <x:v>18369</x:v>
      </x:c>
      <x:c r="M78" s="30" t="n">
        <x:v>17763</x:v>
      </x:c>
      <x:c r="N78" s="30" t="n">
        <x:v>606</x:v>
      </x:c>
      <x:c r="O78" s="32" t="n">
        <x:v>0.9044444444444445</x:v>
      </x:c>
      <x:c r="P78" s="32" t="n">
        <x:v>0.9176977886977887</x:v>
      </x:c>
      <x:c r="Q78" s="32" t="n">
        <x:v>0.9670096357994448</x:v>
      </x:c>
      <x:c r="R78" s="32" t="n">
        <x:v>0.8026244444444446</x:v>
      </x:c>
      <x:c r="S78" s="29" t="str">
        <x:v>Quality check</x:v>
      </x:c>
      <x:c r="T78" s="29" t="str">
        <x:v>Leak test</x:v>
      </x:c>
      <x:c r="U78" s="30" t="n">
        <x:v>23</x:v>
      </x:c>
      <x:c r="V78" s="33" t="n">
        <x:v>186.8</x:v>
      </x:c>
      <x:c r="W78" s="34" t="n">
        <x:v>6.8</x:v>
      </x:c>
    </x:row>
    <x:row r="79">
      <x:c r="A79" s="28" t="n">
        <x:v>46229</x:v>
      </x:c>
      <x:c r="B79" s="29" t="str">
        <x:v>W04</x:v>
      </x:c>
      <x:c r="C79" s="29" t="str">
        <x:v>Night</x:v>
      </x:c>
      <x:c r="D79" s="29" t="str">
        <x:v>Line A</x:v>
      </x:c>
      <x:c r="E79" s="29" t="str">
        <x:v>Valve</x:v>
      </x:c>
      <x:c r="F79" s="29" t="str">
        <x:v>VAL-100</x:v>
      </x:c>
      <x:c r="G79" s="30" t="n">
        <x:v>450</x:v>
      </x:c>
      <x:c r="H79" s="30" t="n">
        <x:v>27</x:v>
      </x:c>
      <x:c r="I79" s="30" t="n">
        <x:v>423</x:v>
      </x:c>
      <x:c r="J79" s="31" t="n">
        <x:v>0.96</x:v>
      </x:c>
      <x:c r="K79" s="30" t="n">
        <x:v>25875</x:v>
      </x:c>
      <x:c r="L79" s="30" t="n">
        <x:v>25547</x:v>
      </x:c>
      <x:c r="M79" s="30" t="n">
        <x:v>25343</x:v>
      </x:c>
      <x:c r="N79" s="30" t="n">
        <x:v>204</x:v>
      </x:c>
      <x:c r="O79" s="32" t="n">
        <x:v>0.94</x:v>
      </x:c>
      <x:c r="P79" s="32" t="n">
        <x:v>0.9663167848699763</x:v>
      </x:c>
      <x:c r="Q79" s="32" t="n">
        <x:v>0.9920147179707989</x:v>
      </x:c>
      <x:c r="R79" s="32" t="n">
        <x:v>0.9010844444444444</x:v>
      </x:c>
      <x:c r="S79" s="29" t="str">
        <x:v>Material shortage</x:v>
      </x:c>
      <x:c r="T79" s="29" t="str">
        <x:v>None</x:v>
      </x:c>
      <x:c r="U79" s="30" t="n">
        <x:v>9</x:v>
      </x:c>
      <x:c r="V79" s="33" t="n">
        <x:v>146.1</x:v>
      </x:c>
      <x:c r="W79" s="34" t="n">
        <x:v>7.1</x:v>
      </x:c>
    </x:row>
    <x:row r="80">
      <x:c r="A80" s="28" t="n">
        <x:v>46230</x:v>
      </x:c>
      <x:c r="B80" s="29" t="str">
        <x:v>W04</x:v>
      </x:c>
      <x:c r="C80" s="29" t="str">
        <x:v>Day</x:v>
      </x:c>
      <x:c r="D80" s="29" t="str">
        <x:v>Line C</x:v>
      </x:c>
      <x:c r="E80" s="29" t="str">
        <x:v>Barrier Pack</x:v>
      </x:c>
      <x:c r="F80" s="29" t="str">
        <x:v>BPK-310</x:v>
      </x:c>
      <x:c r="G80" s="30" t="n">
        <x:v>450</x:v>
      </x:c>
      <x:c r="H80" s="30" t="n">
        <x:v>47</x:v>
      </x:c>
      <x:c r="I80" s="30" t="n">
        <x:v>403</x:v>
      </x:c>
      <x:c r="J80" s="31" t="n">
        <x:v>1.22</x:v>
      </x:c>
      <x:c r="K80" s="30" t="n">
        <x:v>20361</x:v>
      </x:c>
      <x:c r="L80" s="30" t="n">
        <x:v>18188</x:v>
      </x:c>
      <x:c r="M80" s="30" t="n">
        <x:v>17914</x:v>
      </x:c>
      <x:c r="N80" s="30" t="n">
        <x:v>274</x:v>
      </x:c>
      <x:c r="O80" s="32" t="n">
        <x:v>0.8955555555555555</x:v>
      </x:c>
      <x:c r="P80" s="32" t="n">
        <x:v>0.9176741108354012</x:v>
      </x:c>
      <x:c r="Q80" s="32" t="n">
        <x:v>0.9849351220585001</x:v>
      </x:c>
      <x:c r="R80" s="32" t="n">
        <x:v>0.8094474074074074</x:v>
      </x:c>
      <x:c r="S80" s="29" t="str">
        <x:v>Cleaning</x:v>
      </x:c>
      <x:c r="T80" s="29" t="str">
        <x:v>None</x:v>
      </x:c>
      <x:c r="U80" s="30" t="n">
        <x:v>12</x:v>
      </x:c>
      <x:c r="V80" s="33" t="n">
        <x:v>164.6</x:v>
      </x:c>
      <x:c r="W80" s="34" t="n">
        <x:v>6.7</x:v>
      </x:c>
    </x:row>
    <x:row r="81">
      <x:c r="A81" s="28" t="n">
        <x:v>46230</x:v>
      </x:c>
      <x:c r="B81" s="29" t="str">
        <x:v>W04</x:v>
      </x:c>
      <x:c r="C81" s="29" t="str">
        <x:v>Late</x:v>
      </x:c>
      <x:c r="D81" s="29" t="str">
        <x:v>Line A</x:v>
      </x:c>
      <x:c r="E81" s="29" t="str">
        <x:v>Valve</x:v>
      </x:c>
      <x:c r="F81" s="29" t="str">
        <x:v>VAL-100</x:v>
      </x:c>
      <x:c r="G81" s="30" t="n">
        <x:v>450</x:v>
      </x:c>
      <x:c r="H81" s="30" t="n">
        <x:v>45</x:v>
      </x:c>
      <x:c r="I81" s="30" t="n">
        <x:v>405</x:v>
      </x:c>
      <x:c r="J81" s="31" t="n">
        <x:v>0.96</x:v>
      </x:c>
      <x:c r="K81" s="30" t="n">
        <x:v>25875</x:v>
      </x:c>
      <x:c r="L81" s="30" t="n">
        <x:v>22096</x:v>
      </x:c>
      <x:c r="M81" s="30" t="n">
        <x:v>21747</x:v>
      </x:c>
      <x:c r="N81" s="30" t="n">
        <x:v>349</x:v>
      </x:c>
      <x:c r="O81" s="32" t="n">
        <x:v>0.9</x:v>
      </x:c>
      <x:c r="P81" s="32" t="n">
        <x:v>0.8729283950617284</x:v>
      </x:c>
      <x:c r="Q81" s="32" t="n">
        <x:v>0.9842052860246199</x:v>
      </x:c>
      <x:c r="R81" s="32" t="n">
        <x:v>0.7732266666666666</x:v>
      </x:c>
      <x:c r="S81" s="29" t="str">
        <x:v>Cleaning</x:v>
      </x:c>
      <x:c r="T81" s="29" t="str">
        <x:v>None</x:v>
      </x:c>
      <x:c r="U81" s="30" t="n">
        <x:v>15</x:v>
      </x:c>
      <x:c r="V81" s="33" t="n">
        <x:v>159.5</x:v>
      </x:c>
      <x:c r="W81" s="34" t="n">
        <x:v>6.8</x:v>
      </x:c>
    </x:row>
    <x:row r="82">
      <x:c r="A82" s="28" t="n">
        <x:v>46230</x:v>
      </x:c>
      <x:c r="B82" s="29" t="str">
        <x:v>W04</x:v>
      </x:c>
      <x:c r="C82" s="29" t="str">
        <x:v>Night</x:v>
      </x:c>
      <x:c r="D82" s="29" t="str">
        <x:v>Line B</x:v>
      </x:c>
      <x:c r="E82" s="29" t="str">
        <x:v>Actuator</x:v>
      </x:c>
      <x:c r="F82" s="29" t="str">
        <x:v>ACT-220</x:v>
      </x:c>
      <x:c r="G82" s="30" t="n">
        <x:v>450</x:v>
      </x:c>
      <x:c r="H82" s="30" t="n">
        <x:v>68</x:v>
      </x:c>
      <x:c r="I82" s="30" t="n">
        <x:v>382</x:v>
      </x:c>
      <x:c r="J82" s="31" t="n">
        <x:v>1.08</x:v>
      </x:c>
      <x:c r="K82" s="30" t="n">
        <x:v>23000</x:v>
      </x:c>
      <x:c r="L82" s="30" t="n">
        <x:v>19625</x:v>
      </x:c>
      <x:c r="M82" s="30" t="n">
        <x:v>19317</x:v>
      </x:c>
      <x:c r="N82" s="30" t="n">
        <x:v>308</x:v>
      </x:c>
      <x:c r="O82" s="32" t="n">
        <x:v>0.8488888888888889</x:v>
      </x:c>
      <x:c r="P82" s="32" t="n">
        <x:v>0.9247382198952879</x:v>
      </x:c>
      <x:c r="Q82" s="32" t="n">
        <x:v>0.9843057324840764</x:v>
      </x:c>
      <x:c r="R82" s="32" t="n">
        <x:v>0.77268</x:v>
      </x:c>
      <x:c r="S82" s="29" t="str">
        <x:v>Sensor fault</x:v>
      </x:c>
      <x:c r="T82" s="29" t="str">
        <x:v>None</x:v>
      </x:c>
      <x:c r="U82" s="30" t="n">
        <x:v>24</x:v>
      </x:c>
      <x:c r="V82" s="33" t="n">
        <x:v>160.7</x:v>
      </x:c>
      <x:c r="W82" s="34" t="n">
        <x:v>6.4</x:v>
      </x:c>
    </x:row>
    <x:row r="83">
      <x:c r="A83" s="28" t="n">
        <x:v>46231</x:v>
      </x:c>
      <x:c r="B83" s="29" t="str">
        <x:v>W04</x:v>
      </x:c>
      <x:c r="C83" s="29" t="str">
        <x:v>Day</x:v>
      </x:c>
      <x:c r="D83" s="29" t="str">
        <x:v>Line A</x:v>
      </x:c>
      <x:c r="E83" s="29" t="str">
        <x:v>Valve</x:v>
      </x:c>
      <x:c r="F83" s="29" t="str">
        <x:v>VAL-100</x:v>
      </x:c>
      <x:c r="G83" s="30" t="n">
        <x:v>450</x:v>
      </x:c>
      <x:c r="H83" s="30" t="n">
        <x:v>39</x:v>
      </x:c>
      <x:c r="I83" s="30" t="n">
        <x:v>411</x:v>
      </x:c>
      <x:c r="J83" s="31" t="n">
        <x:v>0.96</x:v>
      </x:c>
      <x:c r="K83" s="30" t="n">
        <x:v>25875</x:v>
      </x:c>
      <x:c r="L83" s="30" t="n">
        <x:v>22186</x:v>
      </x:c>
      <x:c r="M83" s="30" t="n">
        <x:v>21801</x:v>
      </x:c>
      <x:c r="N83" s="30" t="n">
        <x:v>385</x:v>
      </x:c>
      <x:c r="O83" s="32" t="n">
        <x:v>0.9133333333333333</x:v>
      </x:c>
      <x:c r="P83" s="32" t="n">
        <x:v>0.8636885644768856</x:v>
      </x:c>
      <x:c r="Q83" s="32" t="n">
        <x:v>0.9826467141440548</x:v>
      </x:c>
      <x:c r="R83" s="32" t="n">
        <x:v>0.7751466666666667</x:v>
      </x:c>
      <x:c r="S83" s="29" t="str">
        <x:v>Changeover</x:v>
      </x:c>
      <x:c r="T83" s="29" t="str">
        <x:v>Leak test</x:v>
      </x:c>
      <x:c r="U83" s="30" t="n">
        <x:v>28</x:v>
      </x:c>
      <x:c r="V83" s="33" t="n">
        <x:v>216.5</x:v>
      </x:c>
      <x:c r="W83" s="34" t="n">
        <x:v>6.9</x:v>
      </x:c>
    </x:row>
    <x:row r="84">
      <x:c r="A84" s="28" t="n">
        <x:v>46231</x:v>
      </x:c>
      <x:c r="B84" s="29" t="str">
        <x:v>W04</x:v>
      </x:c>
      <x:c r="C84" s="29" t="str">
        <x:v>Late</x:v>
      </x:c>
      <x:c r="D84" s="29" t="str">
        <x:v>Line B</x:v>
      </x:c>
      <x:c r="E84" s="29" t="str">
        <x:v>Actuator</x:v>
      </x:c>
      <x:c r="F84" s="29" t="str">
        <x:v>ACT-220</x:v>
      </x:c>
      <x:c r="G84" s="30" t="n">
        <x:v>450</x:v>
      </x:c>
      <x:c r="H84" s="30" t="n">
        <x:v>35</x:v>
      </x:c>
      <x:c r="I84" s="30" t="n">
        <x:v>415</x:v>
      </x:c>
      <x:c r="J84" s="31" t="n">
        <x:v>1.08</x:v>
      </x:c>
      <x:c r="K84" s="30" t="n">
        <x:v>23000</x:v>
      </x:c>
      <x:c r="L84" s="30" t="n">
        <x:v>19494</x:v>
      </x:c>
      <x:c r="M84" s="30" t="n">
        <x:v>19247</x:v>
      </x:c>
      <x:c r="N84" s="30" t="n">
        <x:v>247</x:v>
      </x:c>
      <x:c r="O84" s="32" t="n">
        <x:v>0.9222222222222223</x:v>
      </x:c>
      <x:c r="P84" s="32" t="n">
        <x:v>0.845522891566265</x:v>
      </x:c>
      <x:c r="Q84" s="32" t="n">
        <x:v>0.9873294346978557</x:v>
      </x:c>
      <x:c r="R84" s="32" t="n">
        <x:v>0.76988</x:v>
      </x:c>
      <x:c r="S84" s="29" t="str">
        <x:v>Quality check</x:v>
      </x:c>
      <x:c r="T84" s="29" t="str">
        <x:v>None</x:v>
      </x:c>
      <x:c r="U84" s="30" t="n">
        <x:v>15</x:v>
      </x:c>
      <x:c r="V84" s="33" t="n">
        <x:v>188.7</x:v>
      </x:c>
      <x:c r="W84" s="34" t="n">
        <x:v>6.9</x:v>
      </x:c>
    </x:row>
    <x:row r="85">
      <x:c r="A85" s="28" t="n">
        <x:v>46231</x:v>
      </x:c>
      <x:c r="B85" s="29" t="str">
        <x:v>W04</x:v>
      </x:c>
      <x:c r="C85" s="29" t="str">
        <x:v>Night</x:v>
      </x:c>
      <x:c r="D85" s="29" t="str">
        <x:v>Line C</x:v>
      </x:c>
      <x:c r="E85" s="29" t="str">
        <x:v>Barrier Pack</x:v>
      </x:c>
      <x:c r="F85" s="29" t="str">
        <x:v>BPK-310</x:v>
      </x:c>
      <x:c r="G85" s="30" t="n">
        <x:v>450</x:v>
      </x:c>
      <x:c r="H85" s="30" t="n">
        <x:v>35</x:v>
      </x:c>
      <x:c r="I85" s="30" t="n">
        <x:v>415</x:v>
      </x:c>
      <x:c r="J85" s="31" t="n">
        <x:v>1.22</x:v>
      </x:c>
      <x:c r="K85" s="30" t="n">
        <x:v>20361</x:v>
      </x:c>
      <x:c r="L85" s="30" t="n">
        <x:v>18526</x:v>
      </x:c>
      <x:c r="M85" s="30" t="n">
        <x:v>18275</x:v>
      </x:c>
      <x:c r="N85" s="30" t="n">
        <x:v>251</x:v>
      </x:c>
      <x:c r="O85" s="32" t="n">
        <x:v>0.9222222222222223</x:v>
      </x:c>
      <x:c r="P85" s="32" t="n">
        <x:v>0.9076995983935744</x:v>
      </x:c>
      <x:c r="Q85" s="32" t="n">
        <x:v>0.9864514736046637</x:v>
      </x:c>
      <x:c r="R85" s="32" t="n">
        <x:v>0.8257592592592594</x:v>
      </x:c>
      <x:c r="S85" s="29" t="str">
        <x:v>Sensor fault</x:v>
      </x:c>
      <x:c r="T85" s="29" t="str">
        <x:v>None</x:v>
      </x:c>
      <x:c r="U85" s="30" t="n">
        <x:v>13</x:v>
      </x:c>
      <x:c r="V85" s="33" t="n">
        <x:v>174.1</x:v>
      </x:c>
      <x:c r="W85" s="34" t="n">
        <x:v>6.9</x:v>
      </x:c>
    </x:row>
    <x:row r="86">
      <x:c r="A86" s="28" t="n">
        <x:v>46232</x:v>
      </x:c>
      <x:c r="B86" s="29" t="str">
        <x:v>W05</x:v>
      </x:c>
      <x:c r="C86" s="29" t="str">
        <x:v>Day</x:v>
      </x:c>
      <x:c r="D86" s="29" t="str">
        <x:v>Line B</x:v>
      </x:c>
      <x:c r="E86" s="29" t="str">
        <x:v>Actuator</x:v>
      </x:c>
      <x:c r="F86" s="29" t="str">
        <x:v>ACT-220</x:v>
      </x:c>
      <x:c r="G86" s="30" t="n">
        <x:v>450</x:v>
      </x:c>
      <x:c r="H86" s="30" t="n">
        <x:v>42</x:v>
      </x:c>
      <x:c r="I86" s="30" t="n">
        <x:v>408</x:v>
      </x:c>
      <x:c r="J86" s="31" t="n">
        <x:v>1.08</x:v>
      </x:c>
      <x:c r="K86" s="30" t="n">
        <x:v>23000</x:v>
      </x:c>
      <x:c r="L86" s="30" t="n">
        <x:v>20452</x:v>
      </x:c>
      <x:c r="M86" s="30" t="n">
        <x:v>20229</x:v>
      </x:c>
      <x:c r="N86" s="30" t="n">
        <x:v>223</x:v>
      </x:c>
      <x:c r="O86" s="32" t="n">
        <x:v>0.9066666666666666</x:v>
      </x:c>
      <x:c r="P86" s="32" t="n">
        <x:v>0.9022941176470588</x:v>
      </x:c>
      <x:c r="Q86" s="32" t="n">
        <x:v>0.9890964208879327</x:v>
      </x:c>
      <x:c r="R86" s="32" t="n">
        <x:v>0.8091599999999999</x:v>
      </x:c>
      <x:c r="S86" s="29" t="str">
        <x:v>Quality check</x:v>
      </x:c>
      <x:c r="T86" s="29" t="str">
        <x:v>None</x:v>
      </x:c>
      <x:c r="U86" s="30" t="n">
        <x:v>19</x:v>
      </x:c>
      <x:c r="V86" s="33" t="n">
        <x:v>185</x:v>
      </x:c>
      <x:c r="W86" s="34" t="n">
        <x:v>6.8</x:v>
      </x:c>
    </x:row>
    <x:row r="87">
      <x:c r="A87" s="28" t="n">
        <x:v>46232</x:v>
      </x:c>
      <x:c r="B87" s="29" t="str">
        <x:v>W05</x:v>
      </x:c>
      <x:c r="C87" s="29" t="str">
        <x:v>Late</x:v>
      </x:c>
      <x:c r="D87" s="29" t="str">
        <x:v>Line C</x:v>
      </x:c>
      <x:c r="E87" s="29" t="str">
        <x:v>Barrier Pack</x:v>
      </x:c>
      <x:c r="F87" s="29" t="str">
        <x:v>BPK-310</x:v>
      </x:c>
      <x:c r="G87" s="30" t="n">
        <x:v>450</x:v>
      </x:c>
      <x:c r="H87" s="30" t="n">
        <x:v>46</x:v>
      </x:c>
      <x:c r="I87" s="30" t="n">
        <x:v>404</x:v>
      </x:c>
      <x:c r="J87" s="31" t="n">
        <x:v>1.22</x:v>
      </x:c>
      <x:c r="K87" s="30" t="n">
        <x:v>20361</x:v>
      </x:c>
      <x:c r="L87" s="30" t="n">
        <x:v>19161</x:v>
      </x:c>
      <x:c r="M87" s="30" t="n">
        <x:v>18681</x:v>
      </x:c>
      <x:c r="N87" s="30" t="n">
        <x:v>480</x:v>
      </x:c>
      <x:c r="O87" s="32" t="n">
        <x:v>0.8977777777777778</x:v>
      </x:c>
      <x:c r="P87" s="32" t="n">
        <x:v>0.9643737623762375</x:v>
      </x:c>
      <x:c r="Q87" s="32" t="n">
        <x:v>0.9749491153906372</x:v>
      </x:c>
      <x:c r="R87" s="32" t="n">
        <x:v>0.8441044444444443</x:v>
      </x:c>
      <x:c r="S87" s="29" t="str">
        <x:v>Cleaning</x:v>
      </x:c>
      <x:c r="T87" s="29" t="str">
        <x:v>Seal</x:v>
      </x:c>
      <x:c r="U87" s="30" t="n">
        <x:v>21</x:v>
      </x:c>
      <x:c r="V87" s="33" t="n">
        <x:v>224.7</x:v>
      </x:c>
      <x:c r="W87" s="34" t="n">
        <x:v>6.7</x:v>
      </x:c>
    </x:row>
    <x:row r="88">
      <x:c r="A88" s="28" t="n">
        <x:v>46232</x:v>
      </x:c>
      <x:c r="B88" s="29" t="str">
        <x:v>W05</x:v>
      </x:c>
      <x:c r="C88" s="29" t="str">
        <x:v>Night</x:v>
      </x:c>
      <x:c r="D88" s="29" t="str">
        <x:v>Line A</x:v>
      </x:c>
      <x:c r="E88" s="29" t="str">
        <x:v>Valve</x:v>
      </x:c>
      <x:c r="F88" s="29" t="str">
        <x:v>VAL-100</x:v>
      </x:c>
      <x:c r="G88" s="30" t="n">
        <x:v>450</x:v>
      </x:c>
      <x:c r="H88" s="30" t="n">
        <x:v>60</x:v>
      </x:c>
      <x:c r="I88" s="30" t="n">
        <x:v>390</x:v>
      </x:c>
      <x:c r="J88" s="31" t="n">
        <x:v>0.96</x:v>
      </x:c>
      <x:c r="K88" s="30" t="n">
        <x:v>25875</x:v>
      </x:c>
      <x:c r="L88" s="30" t="n">
        <x:v>22575</x:v>
      </x:c>
      <x:c r="M88" s="30" t="n">
        <x:v>22364</x:v>
      </x:c>
      <x:c r="N88" s="30" t="n">
        <x:v>211</x:v>
      </x:c>
      <x:c r="O88" s="32" t="n">
        <x:v>0.8666666666666667</x:v>
      </x:c>
      <x:c r="P88" s="32" t="n">
        <x:v>0.9261538461538461</x:v>
      </x:c>
      <x:c r="Q88" s="32" t="n">
        <x:v>0.9906533776301218</x:v>
      </x:c>
      <x:c r="R88" s="32" t="n">
        <x:v>0.7951644444444445</x:v>
      </x:c>
      <x:c r="S88" s="29" t="str">
        <x:v>Changeover</x:v>
      </x:c>
      <x:c r="T88" s="29" t="str">
        <x:v>None</x:v>
      </x:c>
      <x:c r="U88" s="30" t="n">
        <x:v>27</x:v>
      </x:c>
      <x:c r="V88" s="33" t="n">
        <x:v>160.9</x:v>
      </x:c>
      <x:c r="W88" s="34" t="n">
        <x:v>6.5</x:v>
      </x:c>
    </x:row>
    <x:row r="89">
      <x:c r="A89" s="28" t="n">
        <x:v>46233</x:v>
      </x:c>
      <x:c r="B89" s="29" t="str">
        <x:v>W05</x:v>
      </x:c>
      <x:c r="C89" s="29" t="str">
        <x:v>Day</x:v>
      </x:c>
      <x:c r="D89" s="29" t="str">
        <x:v>Line C</x:v>
      </x:c>
      <x:c r="E89" s="29" t="str">
        <x:v>Barrier Pack</x:v>
      </x:c>
      <x:c r="F89" s="29" t="str">
        <x:v>BPK-310</x:v>
      </x:c>
      <x:c r="G89" s="30" t="n">
        <x:v>450</x:v>
      </x:c>
      <x:c r="H89" s="30" t="n">
        <x:v>55</x:v>
      </x:c>
      <x:c r="I89" s="30" t="n">
        <x:v>395</x:v>
      </x:c>
      <x:c r="J89" s="31" t="n">
        <x:v>1.22</x:v>
      </x:c>
      <x:c r="K89" s="30" t="n">
        <x:v>20361</x:v>
      </x:c>
      <x:c r="L89" s="30" t="n">
        <x:v>16611</x:v>
      </x:c>
      <x:c r="M89" s="30" t="n">
        <x:v>16093</x:v>
      </x:c>
      <x:c r="N89" s="30" t="n">
        <x:v>518</x:v>
      </x:c>
      <x:c r="O89" s="32" t="n">
        <x:v>0.8777777777777778</x:v>
      </x:c>
      <x:c r="P89" s="32" t="n">
        <x:v>0.8550810126582278</x:v>
      </x:c>
      <x:c r="Q89" s="32" t="n">
        <x:v>0.9688158449220396</x:v>
      </x:c>
      <x:c r="R89" s="32" t="n">
        <x:v>0.7271651851851851</x:v>
      </x:c>
      <x:c r="S89" s="29" t="str">
        <x:v>Cleaning</x:v>
      </x:c>
      <x:c r="T89" s="29" t="str">
        <x:v>Seal</x:v>
      </x:c>
      <x:c r="U89" s="30" t="n">
        <x:v>20</x:v>
      </x:c>
      <x:c r="V89" s="33" t="n">
        <x:v>214.3</x:v>
      </x:c>
      <x:c r="W89" s="34" t="n">
        <x:v>6.6</x:v>
      </x:c>
    </x:row>
    <x:row r="90">
      <x:c r="A90" s="28" t="n">
        <x:v>46233</x:v>
      </x:c>
      <x:c r="B90" s="29" t="str">
        <x:v>W05</x:v>
      </x:c>
      <x:c r="C90" s="29" t="str">
        <x:v>Late</x:v>
      </x:c>
      <x:c r="D90" s="29" t="str">
        <x:v>Line A</x:v>
      </x:c>
      <x:c r="E90" s="29" t="str">
        <x:v>Valve</x:v>
      </x:c>
      <x:c r="F90" s="29" t="str">
        <x:v>VAL-100</x:v>
      </x:c>
      <x:c r="G90" s="30" t="n">
        <x:v>450</x:v>
      </x:c>
      <x:c r="H90" s="30" t="n">
        <x:v>53</x:v>
      </x:c>
      <x:c r="I90" s="30" t="n">
        <x:v>397</x:v>
      </x:c>
      <x:c r="J90" s="31" t="n">
        <x:v>0.96</x:v>
      </x:c>
      <x:c r="K90" s="30" t="n">
        <x:v>25875</x:v>
      </x:c>
      <x:c r="L90" s="30" t="n">
        <x:v>21477</x:v>
      </x:c>
      <x:c r="M90" s="30" t="n">
        <x:v>21300</x:v>
      </x:c>
      <x:c r="N90" s="30" t="n">
        <x:v>177</x:v>
      </x:c>
      <x:c r="O90" s="32" t="n">
        <x:v>0.8822222222222222</x:v>
      </x:c>
      <x:c r="P90" s="32" t="n">
        <x:v>0.8655717884130981</x:v>
      </x:c>
      <x:c r="Q90" s="32" t="n">
        <x:v>0.9917586255063556</x:v>
      </x:c>
      <x:c r="R90" s="32" t="n">
        <x:v>0.7573333333333332</x:v>
      </x:c>
      <x:c r="S90" s="29" t="str">
        <x:v>Changeover</x:v>
      </x:c>
      <x:c r="T90" s="29" t="str">
        <x:v>None</x:v>
      </x:c>
      <x:c r="U90" s="30" t="n">
        <x:v>26</x:v>
      </x:c>
      <x:c r="V90" s="33" t="n">
        <x:v>203.9</x:v>
      </x:c>
      <x:c r="W90" s="34" t="n">
        <x:v>6.6</x:v>
      </x:c>
    </x:row>
    <x:row r="91">
      <x:c r="A91" s="28" t="n">
        <x:v>46233</x:v>
      </x:c>
      <x:c r="B91" s="29" t="str">
        <x:v>W05</x:v>
      </x:c>
      <x:c r="C91" s="29" t="str">
        <x:v>Night</x:v>
      </x:c>
      <x:c r="D91" s="29" t="str">
        <x:v>Line B</x:v>
      </x:c>
      <x:c r="E91" s="29" t="str">
        <x:v>Actuator</x:v>
      </x:c>
      <x:c r="F91" s="29" t="str">
        <x:v>ACT-220</x:v>
      </x:c>
      <x:c r="G91" s="30" t="n">
        <x:v>450</x:v>
      </x:c>
      <x:c r="H91" s="30" t="n">
        <x:v>26</x:v>
      </x:c>
      <x:c r="I91" s="30" t="n">
        <x:v>424</x:v>
      </x:c>
      <x:c r="J91" s="31" t="n">
        <x:v>1.08</x:v>
      </x:c>
      <x:c r="K91" s="30" t="n">
        <x:v>23000</x:v>
      </x:c>
      <x:c r="L91" s="30" t="n">
        <x:v>19923</x:v>
      </x:c>
      <x:c r="M91" s="30" t="n">
        <x:v>19749</x:v>
      </x:c>
      <x:c r="N91" s="30" t="n">
        <x:v>174</x:v>
      </x:c>
      <x:c r="O91" s="32" t="n">
        <x:v>0.9422222222222222</x:v>
      </x:c>
      <x:c r="P91" s="32" t="n">
        <x:v>0.8457877358490566</x:v>
      </x:c>
      <x:c r="Q91" s="32" t="n">
        <x:v>0.9912663755458515</x:v>
      </x:c>
      <x:c r="R91" s="32" t="n">
        <x:v>0.78996</x:v>
      </x:c>
      <x:c r="S91" s="29" t="str">
        <x:v>Cleaning</x:v>
      </x:c>
      <x:c r="T91" s="29" t="str">
        <x:v>None</x:v>
      </x:c>
      <x:c r="U91" s="30" t="n">
        <x:v>12</x:v>
      </x:c>
      <x:c r="V91" s="33" t="n">
        <x:v>206.3</x:v>
      </x:c>
      <x:c r="W91" s="34" t="n">
        <x:v>7.1</x:v>
      </x:c>
    </x:row>
    <x:row r="92">
      <x:c r="A92" s="28" t="n">
        <x:v>46234</x:v>
      </x:c>
      <x:c r="B92" s="29" t="str">
        <x:v>W05</x:v>
      </x:c>
      <x:c r="C92" s="29" t="str">
        <x:v>Day</x:v>
      </x:c>
      <x:c r="D92" s="29" t="str">
        <x:v>Line A</x:v>
      </x:c>
      <x:c r="E92" s="29" t="str">
        <x:v>Valve</x:v>
      </x:c>
      <x:c r="F92" s="29" t="str">
        <x:v>VAL-100</x:v>
      </x:c>
      <x:c r="G92" s="30" t="n">
        <x:v>450</x:v>
      </x:c>
      <x:c r="H92" s="30" t="n">
        <x:v>60</x:v>
      </x:c>
      <x:c r="I92" s="30" t="n">
        <x:v>390</x:v>
      </x:c>
      <x:c r="J92" s="31" t="n">
        <x:v>0.96</x:v>
      </x:c>
      <x:c r="K92" s="30" t="n">
        <x:v>25875</x:v>
      </x:c>
      <x:c r="L92" s="30" t="n">
        <x:v>22619</x:v>
      </x:c>
      <x:c r="M92" s="30" t="n">
        <x:v>22293</x:v>
      </x:c>
      <x:c r="N92" s="30" t="n">
        <x:v>326</x:v>
      </x:c>
      <x:c r="O92" s="32" t="n">
        <x:v>0.8666666666666667</x:v>
      </x:c>
      <x:c r="P92" s="32" t="n">
        <x:v>0.9279589743589742</x:v>
      </x:c>
      <x:c r="Q92" s="32" t="n">
        <x:v>0.9855873380786064</x:v>
      </x:c>
      <x:c r="R92" s="32" t="n">
        <x:v>0.7926399999999999</x:v>
      </x:c>
      <x:c r="S92" s="29" t="str">
        <x:v>Sensor fault</x:v>
      </x:c>
      <x:c r="T92" s="29" t="str">
        <x:v>None</x:v>
      </x:c>
      <x:c r="U92" s="30" t="n">
        <x:v>18</x:v>
      </x:c>
      <x:c r="V92" s="33" t="n">
        <x:v>155.6</x:v>
      </x:c>
      <x:c r="W92" s="34" t="n">
        <x:v>6.5</x:v>
      </x:c>
    </x:row>
    <x:row r="93">
      <x:c r="A93" s="28" t="n">
        <x:v>46234</x:v>
      </x:c>
      <x:c r="B93" s="29" t="str">
        <x:v>W05</x:v>
      </x:c>
      <x:c r="C93" s="29" t="str">
        <x:v>Late</x:v>
      </x:c>
      <x:c r="D93" s="29" t="str">
        <x:v>Line B</x:v>
      </x:c>
      <x:c r="E93" s="29" t="str">
        <x:v>Actuator</x:v>
      </x:c>
      <x:c r="F93" s="29" t="str">
        <x:v>ACT-220</x:v>
      </x:c>
      <x:c r="G93" s="30" t="n">
        <x:v>450</x:v>
      </x:c>
      <x:c r="H93" s="30" t="n">
        <x:v>39</x:v>
      </x:c>
      <x:c r="I93" s="30" t="n">
        <x:v>411</x:v>
      </x:c>
      <x:c r="J93" s="31" t="n">
        <x:v>1.08</x:v>
      </x:c>
      <x:c r="K93" s="30" t="n">
        <x:v>23000</x:v>
      </x:c>
      <x:c r="L93" s="30" t="n">
        <x:v>21188</x:v>
      </x:c>
      <x:c r="M93" s="30" t="n">
        <x:v>20957</x:v>
      </x:c>
      <x:c r="N93" s="30" t="n">
        <x:v>231</x:v>
      </x:c>
      <x:c r="O93" s="32" t="n">
        <x:v>0.9133333333333333</x:v>
      </x:c>
      <x:c r="P93" s="32" t="n">
        <x:v>0.9279416058394161</x:v>
      </x:c>
      <x:c r="Q93" s="32" t="n">
        <x:v>0.9890976024164622</x:v>
      </x:c>
      <x:c r="R93" s="32" t="n">
        <x:v>0.83828</x:v>
      </x:c>
      <x:c r="S93" s="29" t="str">
        <x:v>Mechanical fault</x:v>
      </x:c>
      <x:c r="T93" s="29" t="str">
        <x:v>None</x:v>
      </x:c>
      <x:c r="U93" s="30" t="n">
        <x:v>30</x:v>
      </x:c>
      <x:c r="V93" s="33" t="n">
        <x:v>165.1</x:v>
      </x:c>
      <x:c r="W93" s="34" t="n">
        <x:v>6.9</x:v>
      </x:c>
    </x:row>
    <x:row r="94">
      <x:c r="A94" s="28" t="n">
        <x:v>46234</x:v>
      </x:c>
      <x:c r="B94" s="29" t="str">
        <x:v>W05</x:v>
      </x:c>
      <x:c r="C94" s="29" t="str">
        <x:v>Night</x:v>
      </x:c>
      <x:c r="D94" s="29" t="str">
        <x:v>Line C</x:v>
      </x:c>
      <x:c r="E94" s="29" t="str">
        <x:v>Barrier Pack</x:v>
      </x:c>
      <x:c r="F94" s="29" t="str">
        <x:v>BPK-310</x:v>
      </x:c>
      <x:c r="G94" s="30" t="n">
        <x:v>450</x:v>
      </x:c>
      <x:c r="H94" s="30" t="n">
        <x:v>54</x:v>
      </x:c>
      <x:c r="I94" s="30" t="n">
        <x:v>396</x:v>
      </x:c>
      <x:c r="J94" s="31" t="n">
        <x:v>1.22</x:v>
      </x:c>
      <x:c r="K94" s="30" t="n">
        <x:v>20361</x:v>
      </x:c>
      <x:c r="L94" s="30" t="n">
        <x:v>18228</x:v>
      </x:c>
      <x:c r="M94" s="30" t="n">
        <x:v>17849</x:v>
      </x:c>
      <x:c r="N94" s="30" t="n">
        <x:v>379</x:v>
      </x:c>
      <x:c r="O94" s="32" t="n">
        <x:v>0.88</x:v>
      </x:c>
      <x:c r="P94" s="32" t="n">
        <x:v>0.935949494949495</x:v>
      </x:c>
      <x:c r="Q94" s="32" t="n">
        <x:v>0.9792078121571209</x:v>
      </x:c>
      <x:c r="R94" s="32" t="n">
        <x:v>0.8065103703703704</x:v>
      </x:c>
      <x:c r="S94" s="29" t="str">
        <x:v>Sensor fault</x:v>
      </x:c>
      <x:c r="T94" s="29" t="str">
        <x:v>Leak test</x:v>
      </x:c>
      <x:c r="U94" s="30" t="n">
        <x:v>30</x:v>
      </x:c>
      <x:c r="V94" s="33" t="n">
        <x:v>180.1</x:v>
      </x:c>
      <x:c r="W94" s="34" t="n">
        <x:v>6.6</x:v>
      </x:c>
    </x:row>
    <x:row r="95">
      <x:c r="A95" s="28" t="n">
        <x:v>46235</x:v>
      </x:c>
      <x:c r="B95" s="29" t="str">
        <x:v>W05</x:v>
      </x:c>
      <x:c r="C95" s="29" t="str">
        <x:v>Day</x:v>
      </x:c>
      <x:c r="D95" s="29" t="str">
        <x:v>Line B</x:v>
      </x:c>
      <x:c r="E95" s="29" t="str">
        <x:v>Actuator</x:v>
      </x:c>
      <x:c r="F95" s="29" t="str">
        <x:v>ACT-220</x:v>
      </x:c>
      <x:c r="G95" s="30" t="n">
        <x:v>450</x:v>
      </x:c>
      <x:c r="H95" s="30" t="n">
        <x:v>53</x:v>
      </x:c>
      <x:c r="I95" s="30" t="n">
        <x:v>397</x:v>
      </x:c>
      <x:c r="J95" s="31" t="n">
        <x:v>1.08</x:v>
      </x:c>
      <x:c r="K95" s="30" t="n">
        <x:v>23000</x:v>
      </x:c>
      <x:c r="L95" s="30" t="n">
        <x:v>20422</x:v>
      </x:c>
      <x:c r="M95" s="30" t="n">
        <x:v>19966</x:v>
      </x:c>
      <x:c r="N95" s="30" t="n">
        <x:v>456</x:v>
      </x:c>
      <x:c r="O95" s="32" t="n">
        <x:v>0.8822222222222222</x:v>
      </x:c>
      <x:c r="P95" s="32" t="n">
        <x:v>0.9259345088161209</x:v>
      </x:c>
      <x:c r="Q95" s="32" t="n">
        <x:v>0.9776711389677798</x:v>
      </x:c>
      <x:c r="R95" s="32" t="n">
        <x:v>0.79864</x:v>
      </x:c>
      <x:c r="S95" s="29" t="str">
        <x:v>Material shortage</x:v>
      </x:c>
      <x:c r="T95" s="29" t="str">
        <x:v>Assembly</x:v>
      </x:c>
      <x:c r="U95" s="30" t="n">
        <x:v>17</x:v>
      </x:c>
      <x:c r="V95" s="33" t="n">
        <x:v>184</x:v>
      </x:c>
      <x:c r="W95" s="34" t="n">
        <x:v>6.6</x:v>
      </x:c>
    </x:row>
    <x:row r="96">
      <x:c r="A96" s="28" t="n">
        <x:v>46235</x:v>
      </x:c>
      <x:c r="B96" s="29" t="str">
        <x:v>W05</x:v>
      </x:c>
      <x:c r="C96" s="29" t="str">
        <x:v>Late</x:v>
      </x:c>
      <x:c r="D96" s="29" t="str">
        <x:v>Line C</x:v>
      </x:c>
      <x:c r="E96" s="29" t="str">
        <x:v>Barrier Pack</x:v>
      </x:c>
      <x:c r="F96" s="29" t="str">
        <x:v>BPK-310</x:v>
      </x:c>
      <x:c r="G96" s="30" t="n">
        <x:v>450</x:v>
      </x:c>
      <x:c r="H96" s="30" t="n">
        <x:v>32</x:v>
      </x:c>
      <x:c r="I96" s="30" t="n">
        <x:v>418</x:v>
      </x:c>
      <x:c r="J96" s="31" t="n">
        <x:v>1.22</x:v>
      </x:c>
      <x:c r="K96" s="30" t="n">
        <x:v>20361</x:v>
      </x:c>
      <x:c r="L96" s="30" t="n">
        <x:v>19205</x:v>
      </x:c>
      <x:c r="M96" s="30" t="n">
        <x:v>18587</x:v>
      </x:c>
      <x:c r="N96" s="30" t="n">
        <x:v>618</x:v>
      </x:c>
      <x:c r="O96" s="32" t="n">
        <x:v>0.9288888888888889</x:v>
      </x:c>
      <x:c r="P96" s="32" t="n">
        <x:v>0.9342145135566188</x:v>
      </x:c>
      <x:c r="Q96" s="32" t="n">
        <x:v>0.9678208799791721</x:v>
      </x:c>
      <x:c r="R96" s="32" t="n">
        <x:v>0.839857037037037</x:v>
      </x:c>
      <x:c r="S96" s="29" t="str">
        <x:v>Quality check</x:v>
      </x:c>
      <x:c r="T96" s="29" t="str">
        <x:v>Leak test</x:v>
      </x:c>
      <x:c r="U96" s="30" t="n">
        <x:v>17</x:v>
      </x:c>
      <x:c r="V96" s="33" t="n">
        <x:v>218.9</x:v>
      </x:c>
      <x:c r="W96" s="34" t="n">
        <x:v>7</x:v>
      </x:c>
    </x:row>
    <x:row r="97">
      <x:c r="A97" s="28" t="n">
        <x:v>46235</x:v>
      </x:c>
      <x:c r="B97" s="29" t="str">
        <x:v>W05</x:v>
      </x:c>
      <x:c r="C97" s="29" t="str">
        <x:v>Night</x:v>
      </x:c>
      <x:c r="D97" s="29" t="str">
        <x:v>Line A</x:v>
      </x:c>
      <x:c r="E97" s="29" t="str">
        <x:v>Valve</x:v>
      </x:c>
      <x:c r="F97" s="29" t="str">
        <x:v>VAL-100</x:v>
      </x:c>
      <x:c r="G97" s="30" t="n">
        <x:v>450</x:v>
      </x:c>
      <x:c r="H97" s="30" t="n">
        <x:v>42</x:v>
      </x:c>
      <x:c r="I97" s="30" t="n">
        <x:v>408</x:v>
      </x:c>
      <x:c r="J97" s="31" t="n">
        <x:v>0.96</x:v>
      </x:c>
      <x:c r="K97" s="30" t="n">
        <x:v>25875</x:v>
      </x:c>
      <x:c r="L97" s="30" t="n">
        <x:v>24272</x:v>
      </x:c>
      <x:c r="M97" s="30" t="n">
        <x:v>23691</x:v>
      </x:c>
      <x:c r="N97" s="30" t="n">
        <x:v>581</x:v>
      </x:c>
      <x:c r="O97" s="32" t="n">
        <x:v>0.9066666666666666</x:v>
      </x:c>
      <x:c r="P97" s="32" t="n">
        <x:v>0.9518431372549019</x:v>
      </x:c>
      <x:c r="Q97" s="32" t="n">
        <x:v>0.9760629531970996</x:v>
      </x:c>
      <x:c r="R97" s="32" t="n">
        <x:v>0.8423466666666666</x:v>
      </x:c>
      <x:c r="S97" s="29" t="str">
        <x:v>Quality check</x:v>
      </x:c>
      <x:c r="T97" s="29" t="str">
        <x:v>Assembly</x:v>
      </x:c>
      <x:c r="U97" s="30" t="n">
        <x:v>15</x:v>
      </x:c>
      <x:c r="V97" s="33" t="n">
        <x:v>215.9</x:v>
      </x:c>
      <x:c r="W97" s="34" t="n">
        <x:v>6.8</x:v>
      </x:c>
    </x:row>
    <x:row r="98">
      <x:c r="A98" s="28" t="n">
        <x:v>46236</x:v>
      </x:c>
      <x:c r="B98" s="29" t="str">
        <x:v>W05</x:v>
      </x:c>
      <x:c r="C98" s="29" t="str">
        <x:v>Day</x:v>
      </x:c>
      <x:c r="D98" s="29" t="str">
        <x:v>Line C</x:v>
      </x:c>
      <x:c r="E98" s="29" t="str">
        <x:v>Barrier Pack</x:v>
      </x:c>
      <x:c r="F98" s="29" t="str">
        <x:v>BPK-310</x:v>
      </x:c>
      <x:c r="G98" s="30" t="n">
        <x:v>450</x:v>
      </x:c>
      <x:c r="H98" s="30" t="n">
        <x:v>35</x:v>
      </x:c>
      <x:c r="I98" s="30" t="n">
        <x:v>415</x:v>
      </x:c>
      <x:c r="J98" s="31" t="n">
        <x:v>1.22</x:v>
      </x:c>
      <x:c r="K98" s="30" t="n">
        <x:v>20361</x:v>
      </x:c>
      <x:c r="L98" s="30" t="n">
        <x:v>19733</x:v>
      </x:c>
      <x:c r="M98" s="30" t="n">
        <x:v>19106</x:v>
      </x:c>
      <x:c r="N98" s="30" t="n">
        <x:v>627</x:v>
      </x:c>
      <x:c r="O98" s="32" t="n">
        <x:v>0.9222222222222223</x:v>
      </x:c>
      <x:c r="P98" s="32" t="n">
        <x:v>0.966837751004016</x:v>
      </x:c>
      <x:c r="Q98" s="32" t="n">
        <x:v>0.968225814625247</x:v>
      </x:c>
      <x:c r="R98" s="32" t="n">
        <x:v>0.8633081481481482</x:v>
      </x:c>
      <x:c r="S98" s="29" t="str">
        <x:v>Cleaning</x:v>
      </x:c>
      <x:c r="T98" s="29" t="str">
        <x:v>Cosmetic</x:v>
      </x:c>
      <x:c r="U98" s="30" t="n">
        <x:v>23</x:v>
      </x:c>
      <x:c r="V98" s="33" t="n">
        <x:v>158.9</x:v>
      </x:c>
      <x:c r="W98" s="34" t="n">
        <x:v>6.9</x:v>
      </x:c>
    </x:row>
    <x:row r="99">
      <x:c r="A99" s="28" t="n">
        <x:v>46236</x:v>
      </x:c>
      <x:c r="B99" s="29" t="str">
        <x:v>W05</x:v>
      </x:c>
      <x:c r="C99" s="29" t="str">
        <x:v>Late</x:v>
      </x:c>
      <x:c r="D99" s="29" t="str">
        <x:v>Line A</x:v>
      </x:c>
      <x:c r="E99" s="29" t="str">
        <x:v>Valve</x:v>
      </x:c>
      <x:c r="F99" s="29" t="str">
        <x:v>VAL-100</x:v>
      </x:c>
      <x:c r="G99" s="30" t="n">
        <x:v>450</x:v>
      </x:c>
      <x:c r="H99" s="30" t="n">
        <x:v>40</x:v>
      </x:c>
      <x:c r="I99" s="30" t="n">
        <x:v>410</x:v>
      </x:c>
      <x:c r="J99" s="31" t="n">
        <x:v>0.96</x:v>
      </x:c>
      <x:c r="K99" s="30" t="n">
        <x:v>25875</x:v>
      </x:c>
      <x:c r="L99" s="30" t="n">
        <x:v>24124</x:v>
      </x:c>
      <x:c r="M99" s="30" t="n">
        <x:v>23625</x:v>
      </x:c>
      <x:c r="N99" s="30" t="n">
        <x:v>499</x:v>
      </x:c>
      <x:c r="O99" s="32" t="n">
        <x:v>0.9111111111111111</x:v>
      </x:c>
      <x:c r="P99" s="32" t="n">
        <x:v>0.9414243902439025</x:v>
      </x:c>
      <x:c r="Q99" s="32" t="n">
        <x:v>0.9793152047753275</x:v>
      </x:c>
      <x:c r="R99" s="32" t="n">
        <x:v>0.84</x:v>
      </x:c>
      <x:c r="S99" s="29" t="str">
        <x:v>Sensor fault</x:v>
      </x:c>
      <x:c r="T99" s="29" t="str">
        <x:v>Leak test</x:v>
      </x:c>
      <x:c r="U99" s="30" t="n">
        <x:v>9</x:v>
      </x:c>
      <x:c r="V99" s="33" t="n">
        <x:v>153.8</x:v>
      </x:c>
      <x:c r="W99" s="34" t="n">
        <x:v>6.8</x:v>
      </x:c>
    </x:row>
    <x:row r="100">
      <x:c r="A100" s="28" t="n">
        <x:v>46236</x:v>
      </x:c>
      <x:c r="B100" s="29" t="str">
        <x:v>W05</x:v>
      </x:c>
      <x:c r="C100" s="29" t="str">
        <x:v>Night</x:v>
      </x:c>
      <x:c r="D100" s="29" t="str">
        <x:v>Line B</x:v>
      </x:c>
      <x:c r="E100" s="29" t="str">
        <x:v>Actuator</x:v>
      </x:c>
      <x:c r="F100" s="29" t="str">
        <x:v>ACT-220</x:v>
      </x:c>
      <x:c r="G100" s="30" t="n">
        <x:v>450</x:v>
      </x:c>
      <x:c r="H100" s="30" t="n">
        <x:v>58</x:v>
      </x:c>
      <x:c r="I100" s="30" t="n">
        <x:v>392</x:v>
      </x:c>
      <x:c r="J100" s="31" t="n">
        <x:v>1.08</x:v>
      </x:c>
      <x:c r="K100" s="30" t="n">
        <x:v>23000</x:v>
      </x:c>
      <x:c r="L100" s="30" t="n">
        <x:v>19772</x:v>
      </x:c>
      <x:c r="M100" s="30" t="n">
        <x:v>19209</x:v>
      </x:c>
      <x:c r="N100" s="30" t="n">
        <x:v>563</x:v>
      </x:c>
      <x:c r="O100" s="32" t="n">
        <x:v>0.8711111111111111</x:v>
      </x:c>
      <x:c r="P100" s="32" t="n">
        <x:v>0.9078979591836736</x:v>
      </x:c>
      <x:c r="Q100" s="32" t="n">
        <x:v>0.9715253894396115</x:v>
      </x:c>
      <x:c r="R100" s="32" t="n">
        <x:v>0.76836</x:v>
      </x:c>
      <x:c r="S100" s="29" t="str">
        <x:v>Changeover</x:v>
      </x:c>
      <x:c r="T100" s="29" t="str">
        <x:v>Seal</x:v>
      </x:c>
      <x:c r="U100" s="30" t="n">
        <x:v>17</x:v>
      </x:c>
      <x:c r="V100" s="33" t="n">
        <x:v>180.6</x:v>
      </x:c>
      <x:c r="W100" s="34" t="n">
        <x:v>6.5</x:v>
      </x:c>
    </x:row>
    <x:row r="101">
      <x:c r="A101" s="28" t="n">
        <x:v>46237</x:v>
      </x:c>
      <x:c r="B101" s="29" t="str">
        <x:v>W05</x:v>
      </x:c>
      <x:c r="C101" s="29" t="str">
        <x:v>Day</x:v>
      </x:c>
      <x:c r="D101" s="29" t="str">
        <x:v>Line A</x:v>
      </x:c>
      <x:c r="E101" s="29" t="str">
        <x:v>Valve</x:v>
      </x:c>
      <x:c r="F101" s="29" t="str">
        <x:v>VAL-100</x:v>
      </x:c>
      <x:c r="G101" s="30" t="n">
        <x:v>450</x:v>
      </x:c>
      <x:c r="H101" s="30" t="n">
        <x:v>59</x:v>
      </x:c>
      <x:c r="I101" s="30" t="n">
        <x:v>391</x:v>
      </x:c>
      <x:c r="J101" s="31" t="n">
        <x:v>0.96</x:v>
      </x:c>
      <x:c r="K101" s="30" t="n">
        <x:v>25875</x:v>
      </x:c>
      <x:c r="L101" s="30" t="n">
        <x:v>20872</x:v>
      </x:c>
      <x:c r="M101" s="30" t="n">
        <x:v>20452</x:v>
      </x:c>
      <x:c r="N101" s="30" t="n">
        <x:v>420</x:v>
      </x:c>
      <x:c r="O101" s="32" t="n">
        <x:v>0.8688888888888889</x:v>
      </x:c>
      <x:c r="P101" s="32" t="n">
        <x:v>0.8540971867007672</x:v>
      </x:c>
      <x:c r="Q101" s="32" t="n">
        <x:v>0.979877347642775</x:v>
      </x:c>
      <x:c r="R101" s="32" t="n">
        <x:v>0.7271822222222222</x:v>
      </x:c>
      <x:c r="S101" s="29" t="str">
        <x:v>Changeover</x:v>
      </x:c>
      <x:c r="T101" s="29" t="str">
        <x:v>Leak test</x:v>
      </x:c>
      <x:c r="U101" s="30" t="n">
        <x:v>28</x:v>
      </x:c>
      <x:c r="V101" s="33" t="n">
        <x:v>163.2</x:v>
      </x:c>
      <x:c r="W101" s="34" t="n">
        <x:v>6.5</x:v>
      </x:c>
    </x:row>
    <x:row r="102">
      <x:c r="A102" s="28" t="n">
        <x:v>46237</x:v>
      </x:c>
      <x:c r="B102" s="29" t="str">
        <x:v>W05</x:v>
      </x:c>
      <x:c r="C102" s="29" t="str">
        <x:v>Late</x:v>
      </x:c>
      <x:c r="D102" s="29" t="str">
        <x:v>Line B</x:v>
      </x:c>
      <x:c r="E102" s="29" t="str">
        <x:v>Actuator</x:v>
      </x:c>
      <x:c r="F102" s="29" t="str">
        <x:v>ACT-220</x:v>
      </x:c>
      <x:c r="G102" s="30" t="n">
        <x:v>450</x:v>
      </x:c>
      <x:c r="H102" s="30" t="n">
        <x:v>61</x:v>
      </x:c>
      <x:c r="I102" s="30" t="n">
        <x:v>389</x:v>
      </x:c>
      <x:c r="J102" s="31" t="n">
        <x:v>1.08</x:v>
      </x:c>
      <x:c r="K102" s="30" t="n">
        <x:v>23000</x:v>
      </x:c>
      <x:c r="L102" s="30" t="n">
        <x:v>19632</x:v>
      </x:c>
      <x:c r="M102" s="30" t="n">
        <x:v>19249</x:v>
      </x:c>
      <x:c r="N102" s="30" t="n">
        <x:v>383</x:v>
      </x:c>
      <x:c r="O102" s="32" t="n">
        <x:v>0.8644444444444445</x:v>
      </x:c>
      <x:c r="P102" s="32" t="n">
        <x:v>0.9084215938303343</x:v>
      </x:c>
      <x:c r="Q102" s="32" t="n">
        <x:v>0.9804910350448248</x:v>
      </x:c>
      <x:c r="R102" s="32" t="n">
        <x:v>0.7699600000000001</x:v>
      </x:c>
      <x:c r="S102" s="29" t="str">
        <x:v>Sensor fault</x:v>
      </x:c>
      <x:c r="T102" s="29" t="str">
        <x:v>Dimension</x:v>
      </x:c>
      <x:c r="U102" s="30" t="n">
        <x:v>23</x:v>
      </x:c>
      <x:c r="V102" s="33" t="n">
        <x:v>202.9</x:v>
      </x:c>
      <x:c r="W102" s="34" t="n">
        <x:v>6.5</x:v>
      </x:c>
    </x:row>
    <x:row r="103">
      <x:c r="A103" s="28" t="n">
        <x:v>46237</x:v>
      </x:c>
      <x:c r="B103" s="29" t="str">
        <x:v>W05</x:v>
      </x:c>
      <x:c r="C103" s="29" t="str">
        <x:v>Night</x:v>
      </x:c>
      <x:c r="D103" s="29" t="str">
        <x:v>Line C</x:v>
      </x:c>
      <x:c r="E103" s="29" t="str">
        <x:v>Barrier Pack</x:v>
      </x:c>
      <x:c r="F103" s="29" t="str">
        <x:v>BPK-310</x:v>
      </x:c>
      <x:c r="G103" s="30" t="n">
        <x:v>450</x:v>
      </x:c>
      <x:c r="H103" s="30" t="n">
        <x:v>55</x:v>
      </x:c>
      <x:c r="I103" s="30" t="n">
        <x:v>395</x:v>
      </x:c>
      <x:c r="J103" s="31" t="n">
        <x:v>1.22</x:v>
      </x:c>
      <x:c r="K103" s="30" t="n">
        <x:v>20361</x:v>
      </x:c>
      <x:c r="L103" s="30" t="n">
        <x:v>16654</x:v>
      </x:c>
      <x:c r="M103" s="30" t="n">
        <x:v>16149</x:v>
      </x:c>
      <x:c r="N103" s="30" t="n">
        <x:v>505</x:v>
      </x:c>
      <x:c r="O103" s="32" t="n">
        <x:v>0.8777777777777778</x:v>
      </x:c>
      <x:c r="P103" s="32" t="n">
        <x:v>0.8572945147679325</x:v>
      </x:c>
      <x:c r="Q103" s="32" t="n">
        <x:v>0.9696769544854089</x:v>
      </x:c>
      <x:c r="R103" s="32" t="n">
        <x:v>0.7296955555555555</x:v>
      </x:c>
      <x:c r="S103" s="29" t="str">
        <x:v>Mechanical fault</x:v>
      </x:c>
      <x:c r="T103" s="29" t="str">
        <x:v>Dimension</x:v>
      </x:c>
      <x:c r="U103" s="30" t="n">
        <x:v>13</x:v>
      </x:c>
      <x:c r="V103" s="33" t="n">
        <x:v>180.5</x:v>
      </x:c>
      <x:c r="W103" s="34" t="n">
        <x:v>6.6</x:v>
      </x:c>
    </x:row>
    <x:row r="104">
      <x:c r="A104" s="28" t="n">
        <x:v>46238</x:v>
      </x:c>
      <x:c r="B104" s="29" t="str">
        <x:v>W05</x:v>
      </x:c>
      <x:c r="C104" s="29" t="str">
        <x:v>Day</x:v>
      </x:c>
      <x:c r="D104" s="29" t="str">
        <x:v>Line B</x:v>
      </x:c>
      <x:c r="E104" s="29" t="str">
        <x:v>Actuator</x:v>
      </x:c>
      <x:c r="F104" s="29" t="str">
        <x:v>ACT-220</x:v>
      </x:c>
      <x:c r="G104" s="30" t="n">
        <x:v>450</x:v>
      </x:c>
      <x:c r="H104" s="30" t="n">
        <x:v>36</x:v>
      </x:c>
      <x:c r="I104" s="30" t="n">
        <x:v>414</x:v>
      </x:c>
      <x:c r="J104" s="31" t="n">
        <x:v>1.08</x:v>
      </x:c>
      <x:c r="K104" s="30" t="n">
        <x:v>23000</x:v>
      </x:c>
      <x:c r="L104" s="30" t="n">
        <x:v>20047</x:v>
      </x:c>
      <x:c r="M104" s="30" t="n">
        <x:v>19570</x:v>
      </x:c>
      <x:c r="N104" s="30" t="n">
        <x:v>477</x:v>
      </x:c>
      <x:c r="O104" s="32" t="n">
        <x:v>0.92</x:v>
      </x:c>
      <x:c r="P104" s="32" t="n">
        <x:v>0.871608695652174</x:v>
      </x:c>
      <x:c r="Q104" s="32" t="n">
        <x:v>0.9762059160971717</x:v>
      </x:c>
      <x:c r="R104" s="32" t="n">
        <x:v>0.7828000000000002</x:v>
      </x:c>
      <x:c r="S104" s="29" t="str">
        <x:v>Sensor fault</x:v>
      </x:c>
      <x:c r="T104" s="29" t="str">
        <x:v>Assembly</x:v>
      </x:c>
      <x:c r="U104" s="30" t="n">
        <x:v>26</x:v>
      </x:c>
      <x:c r="V104" s="33" t="n">
        <x:v>152.2</x:v>
      </x:c>
      <x:c r="W104" s="34" t="n">
        <x:v>6.9</x:v>
      </x:c>
    </x:row>
    <x:row r="105">
      <x:c r="A105" s="28" t="n">
        <x:v>46238</x:v>
      </x:c>
      <x:c r="B105" s="29" t="str">
        <x:v>W05</x:v>
      </x:c>
      <x:c r="C105" s="29" t="str">
        <x:v>Late</x:v>
      </x:c>
      <x:c r="D105" s="29" t="str">
        <x:v>Line C</x:v>
      </x:c>
      <x:c r="E105" s="29" t="str">
        <x:v>Barrier Pack</x:v>
      </x:c>
      <x:c r="F105" s="29" t="str">
        <x:v>BPK-310</x:v>
      </x:c>
      <x:c r="G105" s="30" t="n">
        <x:v>450</x:v>
      </x:c>
      <x:c r="H105" s="30" t="n">
        <x:v>43</x:v>
      </x:c>
      <x:c r="I105" s="30" t="n">
        <x:v>407</x:v>
      </x:c>
      <x:c r="J105" s="31" t="n">
        <x:v>1.22</x:v>
      </x:c>
      <x:c r="K105" s="30" t="n">
        <x:v>20361</x:v>
      </x:c>
      <x:c r="L105" s="30" t="n">
        <x:v>17671</x:v>
      </x:c>
      <x:c r="M105" s="30" t="n">
        <x:v>17558</x:v>
      </x:c>
      <x:c r="N105" s="30" t="n">
        <x:v>113</x:v>
      </x:c>
      <x:c r="O105" s="32" t="n">
        <x:v>0.9044444444444445</x:v>
      </x:c>
      <x:c r="P105" s="32" t="n">
        <x:v>0.8828263718263718</x:v>
      </x:c>
      <x:c r="Q105" s="32" t="n">
        <x:v>0.9936053420859035</x:v>
      </x:c>
      <x:c r="R105" s="32" t="n">
        <x:v>0.7933614814814814</x:v>
      </x:c>
      <x:c r="S105" s="29" t="str">
        <x:v>Changeover</x:v>
      </x:c>
      <x:c r="T105" s="29" t="str">
        <x:v>None</x:v>
      </x:c>
      <x:c r="U105" s="30" t="n">
        <x:v>19</x:v>
      </x:c>
      <x:c r="V105" s="33" t="n">
        <x:v>184.6</x:v>
      </x:c>
      <x:c r="W105" s="34" t="n">
        <x:v>6.8</x:v>
      </x:c>
    </x:row>
    <x:row r="106">
      <x:c r="A106" s="28" t="n">
        <x:v>46238</x:v>
      </x:c>
      <x:c r="B106" s="29" t="str">
        <x:v>W05</x:v>
      </x:c>
      <x:c r="C106" s="29" t="str">
        <x:v>Night</x:v>
      </x:c>
      <x:c r="D106" s="29" t="str">
        <x:v>Line A</x:v>
      </x:c>
      <x:c r="E106" s="29" t="str">
        <x:v>Valve</x:v>
      </x:c>
      <x:c r="F106" s="29" t="str">
        <x:v>VAL-100</x:v>
      </x:c>
      <x:c r="G106" s="30" t="n">
        <x:v>450</x:v>
      </x:c>
      <x:c r="H106" s="30" t="n">
        <x:v>47</x:v>
      </x:c>
      <x:c r="I106" s="30" t="n">
        <x:v>403</x:v>
      </x:c>
      <x:c r="J106" s="31" t="n">
        <x:v>0.96</x:v>
      </x:c>
      <x:c r="K106" s="30" t="n">
        <x:v>25875</x:v>
      </x:c>
      <x:c r="L106" s="30" t="n">
        <x:v>23025</x:v>
      </x:c>
      <x:c r="M106" s="30" t="n">
        <x:v>22650</x:v>
      </x:c>
      <x:c r="N106" s="30" t="n">
        <x:v>375</x:v>
      </x:c>
      <x:c r="O106" s="32" t="n">
        <x:v>0.8955555555555555</x:v>
      </x:c>
      <x:c r="P106" s="32" t="n">
        <x:v>0.9141439205955335</x:v>
      </x:c>
      <x:c r="Q106" s="32" t="n">
        <x:v>0.9837133550488599</x:v>
      </x:c>
      <x:c r="R106" s="32" t="n">
        <x:v>0.8053333333333333</x:v>
      </x:c>
      <x:c r="S106" s="29" t="str">
        <x:v>Changeover</x:v>
      </x:c>
      <x:c r="T106" s="29" t="str">
        <x:v>Cosmetic</x:v>
      </x:c>
      <x:c r="U106" s="30" t="n">
        <x:v>9</x:v>
      </x:c>
      <x:c r="V106" s="33" t="n">
        <x:v>223.4</x:v>
      </x:c>
      <x:c r="W106" s="34" t="n">
        <x:v>6.7</x:v>
      </x:c>
    </x:row>
    <x:row r="107">
      <x:c r="A107" s="28" t="n">
        <x:v>46239</x:v>
      </x:c>
      <x:c r="B107" s="29" t="str">
        <x:v>W06</x:v>
      </x:c>
      <x:c r="C107" s="29" t="str">
        <x:v>Day</x:v>
      </x:c>
      <x:c r="D107" s="29" t="str">
        <x:v>Line C</x:v>
      </x:c>
      <x:c r="E107" s="29" t="str">
        <x:v>Barrier Pack</x:v>
      </x:c>
      <x:c r="F107" s="29" t="str">
        <x:v>BPK-310</x:v>
      </x:c>
      <x:c r="G107" s="30" t="n">
        <x:v>450</x:v>
      </x:c>
      <x:c r="H107" s="30" t="n">
        <x:v>37</x:v>
      </x:c>
      <x:c r="I107" s="30" t="n">
        <x:v>413</x:v>
      </x:c>
      <x:c r="J107" s="31" t="n">
        <x:v>1.22</x:v>
      </x:c>
      <x:c r="K107" s="30" t="n">
        <x:v>20361</x:v>
      </x:c>
      <x:c r="L107" s="30" t="n">
        <x:v>18629</x:v>
      </x:c>
      <x:c r="M107" s="30" t="n">
        <x:v>18124</x:v>
      </x:c>
      <x:c r="N107" s="30" t="n">
        <x:v>505</x:v>
      </x:c>
      <x:c r="O107" s="32" t="n">
        <x:v>0.9177777777777778</x:v>
      </x:c>
      <x:c r="P107" s="32" t="n">
        <x:v>0.9171662631154157</x:v>
      </x:c>
      <x:c r="Q107" s="32" t="n">
        <x:v>0.9728917279510441</x:v>
      </x:c>
      <x:c r="R107" s="32" t="n">
        <x:v>0.8189362962962963</x:v>
      </x:c>
      <x:c r="S107" s="29" t="str">
        <x:v>Sensor fault</x:v>
      </x:c>
      <x:c r="T107" s="29" t="str">
        <x:v>Leak test</x:v>
      </x:c>
      <x:c r="U107" s="30" t="n">
        <x:v>18</x:v>
      </x:c>
      <x:c r="V107" s="33" t="n">
        <x:v>172.1</x:v>
      </x:c>
      <x:c r="W107" s="34" t="n">
        <x:v>6.9</x:v>
      </x:c>
    </x:row>
    <x:row r="108">
      <x:c r="A108" s="28" t="n">
        <x:v>46239</x:v>
      </x:c>
      <x:c r="B108" s="29" t="str">
        <x:v>W06</x:v>
      </x:c>
      <x:c r="C108" s="29" t="str">
        <x:v>Late</x:v>
      </x:c>
      <x:c r="D108" s="29" t="str">
        <x:v>Line A</x:v>
      </x:c>
      <x:c r="E108" s="29" t="str">
        <x:v>Valve</x:v>
      </x:c>
      <x:c r="F108" s="29" t="str">
        <x:v>VAL-100</x:v>
      </x:c>
      <x:c r="G108" s="30" t="n">
        <x:v>450</x:v>
      </x:c>
      <x:c r="H108" s="30" t="n">
        <x:v>37</x:v>
      </x:c>
      <x:c r="I108" s="30" t="n">
        <x:v>413</x:v>
      </x:c>
      <x:c r="J108" s="31" t="n">
        <x:v>0.96</x:v>
      </x:c>
      <x:c r="K108" s="30" t="n">
        <x:v>25875</x:v>
      </x:c>
      <x:c r="L108" s="30" t="n">
        <x:v>22611</x:v>
      </x:c>
      <x:c r="M108" s="30" t="n">
        <x:v>22277</x:v>
      </x:c>
      <x:c r="N108" s="30" t="n">
        <x:v>334</x:v>
      </x:c>
      <x:c r="O108" s="32" t="n">
        <x:v>0.9177777777777778</x:v>
      </x:c>
      <x:c r="P108" s="32" t="n">
        <x:v>0.8759709443099273</x:v>
      </x:c>
      <x:c r="Q108" s="32" t="n">
        <x:v>0.985228428640927</x:v>
      </x:c>
      <x:c r="R108" s="32" t="n">
        <x:v>0.7920711111111111</x:v>
      </x:c>
      <x:c r="S108" s="29" t="str">
        <x:v>Material shortage</x:v>
      </x:c>
      <x:c r="T108" s="29" t="str">
        <x:v>None</x:v>
      </x:c>
      <x:c r="U108" s="30" t="n">
        <x:v>9</x:v>
      </x:c>
      <x:c r="V108" s="33" t="n">
        <x:v>170.4</x:v>
      </x:c>
      <x:c r="W108" s="34" t="n">
        <x:v>6.9</x:v>
      </x:c>
    </x:row>
    <x:row r="109">
      <x:c r="A109" s="28" t="n">
        <x:v>46239</x:v>
      </x:c>
      <x:c r="B109" s="29" t="str">
        <x:v>W06</x:v>
      </x:c>
      <x:c r="C109" s="29" t="str">
        <x:v>Night</x:v>
      </x:c>
      <x:c r="D109" s="29" t="str">
        <x:v>Line B</x:v>
      </x:c>
      <x:c r="E109" s="29" t="str">
        <x:v>Actuator</x:v>
      </x:c>
      <x:c r="F109" s="29" t="str">
        <x:v>ACT-220</x:v>
      </x:c>
      <x:c r="G109" s="30" t="n">
        <x:v>450</x:v>
      </x:c>
      <x:c r="H109" s="30" t="n">
        <x:v>32</x:v>
      </x:c>
      <x:c r="I109" s="30" t="n">
        <x:v>418</x:v>
      </x:c>
      <x:c r="J109" s="31" t="n">
        <x:v>1.08</x:v>
      </x:c>
      <x:c r="K109" s="30" t="n">
        <x:v>23000</x:v>
      </x:c>
      <x:c r="L109" s="30" t="n">
        <x:v>20920</x:v>
      </x:c>
      <x:c r="M109" s="30" t="n">
        <x:v>20262</x:v>
      </x:c>
      <x:c r="N109" s="30" t="n">
        <x:v>658</x:v>
      </x:c>
      <x:c r="O109" s="32" t="n">
        <x:v>0.9288888888888889</x:v>
      </x:c>
      <x:c r="P109" s="32" t="n">
        <x:v>0.9008612440191388</x:v>
      </x:c>
      <x:c r="Q109" s="32" t="n">
        <x:v>0.968546845124283</x:v>
      </x:c>
      <x:c r="R109" s="32" t="n">
        <x:v>0.81048</x:v>
      </x:c>
      <x:c r="S109" s="29" t="str">
        <x:v>Mechanical fault</x:v>
      </x:c>
      <x:c r="T109" s="29" t="str">
        <x:v>Seal</x:v>
      </x:c>
      <x:c r="U109" s="30" t="n">
        <x:v>18</x:v>
      </x:c>
      <x:c r="V109" s="33" t="n">
        <x:v>160.3</x:v>
      </x:c>
      <x:c r="W109" s="34" t="n">
        <x:v>7</x:v>
      </x:c>
    </x:row>
    <x:row r="110">
      <x:c r="A110" s="28" t="n">
        <x:v>46240</x:v>
      </x:c>
      <x:c r="B110" s="29" t="str">
        <x:v>W06</x:v>
      </x:c>
      <x:c r="C110" s="29" t="str">
        <x:v>Day</x:v>
      </x:c>
      <x:c r="D110" s="29" t="str">
        <x:v>Line A</x:v>
      </x:c>
      <x:c r="E110" s="29" t="str">
        <x:v>Valve</x:v>
      </x:c>
      <x:c r="F110" s="29" t="str">
        <x:v>VAL-100</x:v>
      </x:c>
      <x:c r="G110" s="30" t="n">
        <x:v>450</x:v>
      </x:c>
      <x:c r="H110" s="30" t="n">
        <x:v>27</x:v>
      </x:c>
      <x:c r="I110" s="30" t="n">
        <x:v>423</x:v>
      </x:c>
      <x:c r="J110" s="31" t="n">
        <x:v>0.96</x:v>
      </x:c>
      <x:c r="K110" s="30" t="n">
        <x:v>25875</x:v>
      </x:c>
      <x:c r="L110" s="30" t="n">
        <x:v>22842</x:v>
      </x:c>
      <x:c r="M110" s="30" t="n">
        <x:v>22182</x:v>
      </x:c>
      <x:c r="N110" s="30" t="n">
        <x:v>660</x:v>
      </x:c>
      <x:c r="O110" s="32" t="n">
        <x:v>0.94</x:v>
      </x:c>
      <x:c r="P110" s="32" t="n">
        <x:v>0.864</x:v>
      </x:c>
      <x:c r="Q110" s="32" t="n">
        <x:v>0.9711058576306804</x:v>
      </x:c>
      <x:c r="R110" s="32" t="n">
        <x:v>0.7886933333333334</x:v>
      </x:c>
      <x:c r="S110" s="29" t="str">
        <x:v>Quality check</x:v>
      </x:c>
      <x:c r="T110" s="29" t="str">
        <x:v>Assembly</x:v>
      </x:c>
      <x:c r="U110" s="30" t="n">
        <x:v>14</x:v>
      </x:c>
      <x:c r="V110" s="33" t="n">
        <x:v>210.2</x:v>
      </x:c>
      <x:c r="W110" s="34" t="n">
        <x:v>7.1</x:v>
      </x:c>
    </x:row>
    <x:row r="111">
      <x:c r="A111" s="28" t="n">
        <x:v>46240</x:v>
      </x:c>
      <x:c r="B111" s="29" t="str">
        <x:v>W06</x:v>
      </x:c>
      <x:c r="C111" s="29" t="str">
        <x:v>Late</x:v>
      </x:c>
      <x:c r="D111" s="29" t="str">
        <x:v>Line B</x:v>
      </x:c>
      <x:c r="E111" s="29" t="str">
        <x:v>Actuator</x:v>
      </x:c>
      <x:c r="F111" s="29" t="str">
        <x:v>ACT-220</x:v>
      </x:c>
      <x:c r="G111" s="30" t="n">
        <x:v>450</x:v>
      </x:c>
      <x:c r="H111" s="30" t="n">
        <x:v>72</x:v>
      </x:c>
      <x:c r="I111" s="30" t="n">
        <x:v>378</x:v>
      </x:c>
      <x:c r="J111" s="31" t="n">
        <x:v>1.08</x:v>
      </x:c>
      <x:c r="K111" s="30" t="n">
        <x:v>23000</x:v>
      </x:c>
      <x:c r="L111" s="30" t="n">
        <x:v>19940</x:v>
      </x:c>
      <x:c r="M111" s="30" t="n">
        <x:v>19568</x:v>
      </x:c>
      <x:c r="N111" s="30" t="n">
        <x:v>372</x:v>
      </x:c>
      <x:c r="O111" s="32" t="n">
        <x:v>0.84</x:v>
      </x:c>
      <x:c r="P111" s="32" t="n">
        <x:v>0.9495238095238095</x:v>
      </x:c>
      <x:c r="Q111" s="32" t="n">
        <x:v>0.9813440320962888</x:v>
      </x:c>
      <x:c r="R111" s="32" t="n">
        <x:v>0.78272</x:v>
      </x:c>
      <x:c r="S111" s="29" t="str">
        <x:v>Mechanical fault</x:v>
      </x:c>
      <x:c r="T111" s="29" t="str">
        <x:v>Leak test</x:v>
      </x:c>
      <x:c r="U111" s="30" t="n">
        <x:v>28</x:v>
      </x:c>
      <x:c r="V111" s="33" t="n">
        <x:v>222.5</x:v>
      </x:c>
      <x:c r="W111" s="34" t="n">
        <x:v>6.3</x:v>
      </x:c>
    </x:row>
    <x:row r="112">
      <x:c r="A112" s="28" t="n">
        <x:v>46240</x:v>
      </x:c>
      <x:c r="B112" s="29" t="str">
        <x:v>W06</x:v>
      </x:c>
      <x:c r="C112" s="29" t="str">
        <x:v>Night</x:v>
      </x:c>
      <x:c r="D112" s="29" t="str">
        <x:v>Line C</x:v>
      </x:c>
      <x:c r="E112" s="29" t="str">
        <x:v>Barrier Pack</x:v>
      </x:c>
      <x:c r="F112" s="29" t="str">
        <x:v>BPK-310</x:v>
      </x:c>
      <x:c r="G112" s="30" t="n">
        <x:v>450</x:v>
      </x:c>
      <x:c r="H112" s="30" t="n">
        <x:v>56</x:v>
      </x:c>
      <x:c r="I112" s="30" t="n">
        <x:v>394</x:v>
      </x:c>
      <x:c r="J112" s="31" t="n">
        <x:v>1.22</x:v>
      </x:c>
      <x:c r="K112" s="30" t="n">
        <x:v>20361</x:v>
      </x:c>
      <x:c r="L112" s="30" t="n">
        <x:v>17475</x:v>
      </x:c>
      <x:c r="M112" s="30" t="n">
        <x:v>17152</x:v>
      </x:c>
      <x:c r="N112" s="30" t="n">
        <x:v>323</x:v>
      </x:c>
      <x:c r="O112" s="32" t="n">
        <x:v>0.8755555555555555</x:v>
      </x:c>
      <x:c r="P112" s="32" t="n">
        <x:v>0.9018401015228427</x:v>
      </x:c>
      <x:c r="Q112" s="32" t="n">
        <x:v>0.981516452074392</x:v>
      </x:c>
      <x:c r="R112" s="32" t="n">
        <x:v>0.7750162962962963</x:v>
      </x:c>
      <x:c r="S112" s="29" t="str">
        <x:v>Material shortage</x:v>
      </x:c>
      <x:c r="T112" s="29" t="str">
        <x:v>None</x:v>
      </x:c>
      <x:c r="U112" s="30" t="n">
        <x:v>24</x:v>
      </x:c>
      <x:c r="V112" s="33" t="n">
        <x:v>168.9</x:v>
      </x:c>
      <x:c r="W112" s="34" t="n">
        <x:v>6.6</x:v>
      </x:c>
    </x:row>
    <x:row r="113">
      <x:c r="A113" s="28" t="n">
        <x:v>46241</x:v>
      </x:c>
      <x:c r="B113" s="29" t="str">
        <x:v>W06</x:v>
      </x:c>
      <x:c r="C113" s="29" t="str">
        <x:v>Day</x:v>
      </x:c>
      <x:c r="D113" s="29" t="str">
        <x:v>Line B</x:v>
      </x:c>
      <x:c r="E113" s="29" t="str">
        <x:v>Actuator</x:v>
      </x:c>
      <x:c r="F113" s="29" t="str">
        <x:v>ACT-220</x:v>
      </x:c>
      <x:c r="G113" s="30" t="n">
        <x:v>450</x:v>
      </x:c>
      <x:c r="H113" s="30" t="n">
        <x:v>60</x:v>
      </x:c>
      <x:c r="I113" s="30" t="n">
        <x:v>390</x:v>
      </x:c>
      <x:c r="J113" s="31" t="n">
        <x:v>1.08</x:v>
      </x:c>
      <x:c r="K113" s="30" t="n">
        <x:v>23000</x:v>
      </x:c>
      <x:c r="L113" s="30" t="n">
        <x:v>18231</x:v>
      </x:c>
      <x:c r="M113" s="30" t="n">
        <x:v>18018</x:v>
      </x:c>
      <x:c r="N113" s="30" t="n">
        <x:v>213</x:v>
      </x:c>
      <x:c r="O113" s="32" t="n">
        <x:v>0.8666666666666667</x:v>
      </x:c>
      <x:c r="P113" s="32" t="n">
        <x:v>0.8414307692307692</x:v>
      </x:c>
      <x:c r="Q113" s="32" t="n">
        <x:v>0.9883166035872963</x:v>
      </x:c>
      <x:c r="R113" s="32" t="n">
        <x:v>0.72072</x:v>
      </x:c>
      <x:c r="S113" s="29" t="str">
        <x:v>Mechanical fault</x:v>
      </x:c>
      <x:c r="T113" s="29" t="str">
        <x:v>None</x:v>
      </x:c>
      <x:c r="U113" s="30" t="n">
        <x:v>14</x:v>
      </x:c>
      <x:c r="V113" s="33" t="n">
        <x:v>191.3</x:v>
      </x:c>
      <x:c r="W113" s="34" t="n">
        <x:v>6.5</x:v>
      </x:c>
    </x:row>
    <x:row r="114">
      <x:c r="A114" s="28" t="n">
        <x:v>46241</x:v>
      </x:c>
      <x:c r="B114" s="29" t="str">
        <x:v>W06</x:v>
      </x:c>
      <x:c r="C114" s="29" t="str">
        <x:v>Late</x:v>
      </x:c>
      <x:c r="D114" s="29" t="str">
        <x:v>Line C</x:v>
      </x:c>
      <x:c r="E114" s="29" t="str">
        <x:v>Barrier Pack</x:v>
      </x:c>
      <x:c r="F114" s="29" t="str">
        <x:v>BPK-310</x:v>
      </x:c>
      <x:c r="G114" s="30" t="n">
        <x:v>450</x:v>
      </x:c>
      <x:c r="H114" s="30" t="n">
        <x:v>71</x:v>
      </x:c>
      <x:c r="I114" s="30" t="n">
        <x:v>379</x:v>
      </x:c>
      <x:c r="J114" s="31" t="n">
        <x:v>1.22</x:v>
      </x:c>
      <x:c r="K114" s="30" t="n">
        <x:v>20361</x:v>
      </x:c>
      <x:c r="L114" s="30" t="n">
        <x:v>17809</x:v>
      </x:c>
      <x:c r="M114" s="30" t="n">
        <x:v>17453</x:v>
      </x:c>
      <x:c r="N114" s="30" t="n">
        <x:v>356</x:v>
      </x:c>
      <x:c r="O114" s="32" t="n">
        <x:v>0.8422222222222222</x:v>
      </x:c>
      <x:c r="P114" s="32" t="n">
        <x:v>0.9554520668425681</x:v>
      </x:c>
      <x:c r="Q114" s="32" t="n">
        <x:v>0.9800101072491437</x:v>
      </x:c>
      <x:c r="R114" s="32" t="n">
        <x:v>0.788617037037037</x:v>
      </x:c>
      <x:c r="S114" s="29" t="str">
        <x:v>Material shortage</x:v>
      </x:c>
      <x:c r="T114" s="29" t="str">
        <x:v>Cosmetic</x:v>
      </x:c>
      <x:c r="U114" s="30" t="n">
        <x:v>29</x:v>
      </x:c>
      <x:c r="V114" s="33" t="n">
        <x:v>210.5</x:v>
      </x:c>
      <x:c r="W114" s="34" t="n">
        <x:v>6.3</x:v>
      </x:c>
    </x:row>
    <x:row r="115">
      <x:c r="A115" s="28" t="n">
        <x:v>46241</x:v>
      </x:c>
      <x:c r="B115" s="29" t="str">
        <x:v>W06</x:v>
      </x:c>
      <x:c r="C115" s="29" t="str">
        <x:v>Night</x:v>
      </x:c>
      <x:c r="D115" s="29" t="str">
        <x:v>Line A</x:v>
      </x:c>
      <x:c r="E115" s="29" t="str">
        <x:v>Valve</x:v>
      </x:c>
      <x:c r="F115" s="29" t="str">
        <x:v>VAL-100</x:v>
      </x:c>
      <x:c r="G115" s="30" t="n">
        <x:v>450</x:v>
      </x:c>
      <x:c r="H115" s="30" t="n">
        <x:v>42</x:v>
      </x:c>
      <x:c r="I115" s="30" t="n">
        <x:v>408</x:v>
      </x:c>
      <x:c r="J115" s="31" t="n">
        <x:v>0.96</x:v>
      </x:c>
      <x:c r="K115" s="30" t="n">
        <x:v>25875</x:v>
      </x:c>
      <x:c r="L115" s="30" t="n">
        <x:v>24686</x:v>
      </x:c>
      <x:c r="M115" s="30" t="n">
        <x:v>23888</x:v>
      </x:c>
      <x:c r="N115" s="30" t="n">
        <x:v>798</x:v>
      </x:c>
      <x:c r="O115" s="32" t="n">
        <x:v>0.9066666666666666</x:v>
      </x:c>
      <x:c r="P115" s="32" t="n">
        <x:v>0.9680784313725489</x:v>
      </x:c>
      <x:c r="Q115" s="32" t="n">
        <x:v>0.9676739852548003</x:v>
      </x:c>
      <x:c r="R115" s="32" t="n">
        <x:v>0.849351111111111</x:v>
      </x:c>
      <x:c r="S115" s="29" t="str">
        <x:v>Material shortage</x:v>
      </x:c>
      <x:c r="T115" s="29" t="str">
        <x:v>Leak test</x:v>
      </x:c>
      <x:c r="U115" s="30" t="n">
        <x:v>10</x:v>
      </x:c>
      <x:c r="V115" s="33" t="n">
        <x:v>195.2</x:v>
      </x:c>
      <x:c r="W115" s="34" t="n">
        <x:v>6.8</x:v>
      </x:c>
    </x:row>
    <x:row r="116">
      <x:c r="A116" s="28" t="n">
        <x:v>46242</x:v>
      </x:c>
      <x:c r="B116" s="29" t="str">
        <x:v>W06</x:v>
      </x:c>
      <x:c r="C116" s="29" t="str">
        <x:v>Day</x:v>
      </x:c>
      <x:c r="D116" s="29" t="str">
        <x:v>Line C</x:v>
      </x:c>
      <x:c r="E116" s="29" t="str">
        <x:v>Barrier Pack</x:v>
      </x:c>
      <x:c r="F116" s="29" t="str">
        <x:v>BPK-310</x:v>
      </x:c>
      <x:c r="G116" s="30" t="n">
        <x:v>450</x:v>
      </x:c>
      <x:c r="H116" s="30" t="n">
        <x:v>71</x:v>
      </x:c>
      <x:c r="I116" s="30" t="n">
        <x:v>379</x:v>
      </x:c>
      <x:c r="J116" s="31" t="n">
        <x:v>1.22</x:v>
      </x:c>
      <x:c r="K116" s="30" t="n">
        <x:v>20361</x:v>
      </x:c>
      <x:c r="L116" s="30" t="n">
        <x:v>17685</x:v>
      </x:c>
      <x:c r="M116" s="30" t="n">
        <x:v>17290</x:v>
      </x:c>
      <x:c r="N116" s="30" t="n">
        <x:v>395</x:v>
      </x:c>
      <x:c r="O116" s="32" t="n">
        <x:v>0.8422222222222222</x:v>
      </x:c>
      <x:c r="P116" s="32" t="n">
        <x:v>0.9487994722955145</x:v>
      </x:c>
      <x:c r="Q116" s="32" t="n">
        <x:v>0.9776646875883517</x:v>
      </x:c>
      <x:c r="R116" s="32" t="n">
        <x:v>0.7812518518518519</x:v>
      </x:c>
      <x:c r="S116" s="29" t="str">
        <x:v>Changeover</x:v>
      </x:c>
      <x:c r="T116" s="29" t="str">
        <x:v>Assembly</x:v>
      </x:c>
      <x:c r="U116" s="30" t="n">
        <x:v>29</x:v>
      </x:c>
      <x:c r="V116" s="33" t="n">
        <x:v>195.9</x:v>
      </x:c>
      <x:c r="W116" s="34" t="n">
        <x:v>6.3</x:v>
      </x:c>
    </x:row>
    <x:row r="117">
      <x:c r="A117" s="28" t="n">
        <x:v>46242</x:v>
      </x:c>
      <x:c r="B117" s="29" t="str">
        <x:v>W06</x:v>
      </x:c>
      <x:c r="C117" s="29" t="str">
        <x:v>Late</x:v>
      </x:c>
      <x:c r="D117" s="29" t="str">
        <x:v>Line A</x:v>
      </x:c>
      <x:c r="E117" s="29" t="str">
        <x:v>Valve</x:v>
      </x:c>
      <x:c r="F117" s="29" t="str">
        <x:v>VAL-100</x:v>
      </x:c>
      <x:c r="G117" s="30" t="n">
        <x:v>450</x:v>
      </x:c>
      <x:c r="H117" s="30" t="n">
        <x:v>43</x:v>
      </x:c>
      <x:c r="I117" s="30" t="n">
        <x:v>407</x:v>
      </x:c>
      <x:c r="J117" s="31" t="n">
        <x:v>0.96</x:v>
      </x:c>
      <x:c r="K117" s="30" t="n">
        <x:v>25875</x:v>
      </x:c>
      <x:c r="L117" s="30" t="n">
        <x:v>22912</x:v>
      </x:c>
      <x:c r="M117" s="30" t="n">
        <x:v>22541</x:v>
      </x:c>
      <x:c r="N117" s="30" t="n">
        <x:v>371</x:v>
      </x:c>
      <x:c r="O117" s="32" t="n">
        <x:v>0.9044444444444445</x:v>
      </x:c>
      <x:c r="P117" s="32" t="n">
        <x:v>0.9007174447174447</x:v>
      </x:c>
      <x:c r="Q117" s="32" t="n">
        <x:v>0.9838076117318436</x:v>
      </x:c>
      <x:c r="R117" s="32" t="n">
        <x:v>0.8014577777777779</x:v>
      </x:c>
      <x:c r="S117" s="29" t="str">
        <x:v>Material shortage</x:v>
      </x:c>
      <x:c r="T117" s="29" t="str">
        <x:v>Assembly</x:v>
      </x:c>
      <x:c r="U117" s="30" t="n">
        <x:v>13</x:v>
      </x:c>
      <x:c r="V117" s="33" t="n">
        <x:v>180.9</x:v>
      </x:c>
      <x:c r="W117" s="34" t="n">
        <x:v>6.8</x:v>
      </x:c>
    </x:row>
    <x:row r="118">
      <x:c r="A118" s="28" t="n">
        <x:v>46242</x:v>
      </x:c>
      <x:c r="B118" s="29" t="str">
        <x:v>W06</x:v>
      </x:c>
      <x:c r="C118" s="29" t="str">
        <x:v>Night</x:v>
      </x:c>
      <x:c r="D118" s="29" t="str">
        <x:v>Line B</x:v>
      </x:c>
      <x:c r="E118" s="29" t="str">
        <x:v>Actuator</x:v>
      </x:c>
      <x:c r="F118" s="29" t="str">
        <x:v>ACT-220</x:v>
      </x:c>
      <x:c r="G118" s="30" t="n">
        <x:v>450</x:v>
      </x:c>
      <x:c r="H118" s="30" t="n">
        <x:v>32</x:v>
      </x:c>
      <x:c r="I118" s="30" t="n">
        <x:v>418</x:v>
      </x:c>
      <x:c r="J118" s="31" t="n">
        <x:v>1.08</x:v>
      </x:c>
      <x:c r="K118" s="30" t="n">
        <x:v>23000</x:v>
      </x:c>
      <x:c r="L118" s="30" t="n">
        <x:v>20654</x:v>
      </x:c>
      <x:c r="M118" s="30" t="n">
        <x:v>20359</x:v>
      </x:c>
      <x:c r="N118" s="30" t="n">
        <x:v>295</x:v>
      </x:c>
      <x:c r="O118" s="32" t="n">
        <x:v>0.9288888888888889</x:v>
      </x:c>
      <x:c r="P118" s="32" t="n">
        <x:v>0.8894066985645933</x:v>
      </x:c>
      <x:c r="Q118" s="32" t="n">
        <x:v>0.9857170523869468</x:v>
      </x:c>
      <x:c r="R118" s="32" t="n">
        <x:v>0.81436</x:v>
      </x:c>
      <x:c r="S118" s="29" t="str">
        <x:v>Material shortage</x:v>
      </x:c>
      <x:c r="T118" s="29" t="str">
        <x:v>None</x:v>
      </x:c>
      <x:c r="U118" s="30" t="n">
        <x:v>20</x:v>
      </x:c>
      <x:c r="V118" s="33" t="n">
        <x:v>212.9</x:v>
      </x:c>
      <x:c r="W118" s="34" t="n">
        <x:v>7</x:v>
      </x:c>
    </x:row>
    <x:row r="119">
      <x:c r="A119" s="28" t="n">
        <x:v>46243</x:v>
      </x:c>
      <x:c r="B119" s="29" t="str">
        <x:v>W06</x:v>
      </x:c>
      <x:c r="C119" s="29" t="str">
        <x:v>Day</x:v>
      </x:c>
      <x:c r="D119" s="29" t="str">
        <x:v>Line A</x:v>
      </x:c>
      <x:c r="E119" s="29" t="str">
        <x:v>Valve</x:v>
      </x:c>
      <x:c r="F119" s="29" t="str">
        <x:v>VAL-100</x:v>
      </x:c>
      <x:c r="G119" s="30" t="n">
        <x:v>450</x:v>
      </x:c>
      <x:c r="H119" s="30" t="n">
        <x:v>62</x:v>
      </x:c>
      <x:c r="I119" s="30" t="n">
        <x:v>388</x:v>
      </x:c>
      <x:c r="J119" s="31" t="n">
        <x:v>0.96</x:v>
      </x:c>
      <x:c r="K119" s="30" t="n">
        <x:v>25875</x:v>
      </x:c>
      <x:c r="L119" s="30" t="n">
        <x:v>21401</x:v>
      </x:c>
      <x:c r="M119" s="30" t="n">
        <x:v>20896</x:v>
      </x:c>
      <x:c r="N119" s="30" t="n">
        <x:v>505</x:v>
      </x:c>
      <x:c r="O119" s="32" t="n">
        <x:v>0.8622222222222222</x:v>
      </x:c>
      <x:c r="P119" s="32" t="n">
        <x:v>0.8825154639175258</x:v>
      </x:c>
      <x:c r="Q119" s="32" t="n">
        <x:v>0.9764029718237466</x:v>
      </x:c>
      <x:c r="R119" s="32" t="n">
        <x:v>0.7429688888888889</x:v>
      </x:c>
      <x:c r="S119" s="29" t="str">
        <x:v>Changeover</x:v>
      </x:c>
      <x:c r="T119" s="29" t="str">
        <x:v>Cosmetic</x:v>
      </x:c>
      <x:c r="U119" s="30" t="n">
        <x:v>23</x:v>
      </x:c>
      <x:c r="V119" s="33" t="n">
        <x:v>165.4</x:v>
      </x:c>
      <x:c r="W119" s="34" t="n">
        <x:v>6.5</x:v>
      </x:c>
    </x:row>
    <x:row r="120">
      <x:c r="A120" s="28" t="n">
        <x:v>46243</x:v>
      </x:c>
      <x:c r="B120" s="29" t="str">
        <x:v>W06</x:v>
      </x:c>
      <x:c r="C120" s="29" t="str">
        <x:v>Late</x:v>
      </x:c>
      <x:c r="D120" s="29" t="str">
        <x:v>Line B</x:v>
      </x:c>
      <x:c r="E120" s="29" t="str">
        <x:v>Actuator</x:v>
      </x:c>
      <x:c r="F120" s="29" t="str">
        <x:v>ACT-220</x:v>
      </x:c>
      <x:c r="G120" s="30" t="n">
        <x:v>450</x:v>
      </x:c>
      <x:c r="H120" s="30" t="n">
        <x:v>58</x:v>
      </x:c>
      <x:c r="I120" s="30" t="n">
        <x:v>392</x:v>
      </x:c>
      <x:c r="J120" s="31" t="n">
        <x:v>1.08</x:v>
      </x:c>
      <x:c r="K120" s="30" t="n">
        <x:v>23000</x:v>
      </x:c>
      <x:c r="L120" s="30" t="n">
        <x:v>20770</x:v>
      </x:c>
      <x:c r="M120" s="30" t="n">
        <x:v>20307</x:v>
      </x:c>
      <x:c r="N120" s="30" t="n">
        <x:v>463</x:v>
      </x:c>
      <x:c r="O120" s="32" t="n">
        <x:v>0.8711111111111111</x:v>
      </x:c>
      <x:c r="P120" s="32" t="n">
        <x:v>0.9537244897959185</x:v>
      </x:c>
      <x:c r="Q120" s="32" t="n">
        <x:v>0.9777082330284064</x:v>
      </x:c>
      <x:c r="R120" s="32" t="n">
        <x:v>0.8122800000000001</x:v>
      </x:c>
      <x:c r="S120" s="29" t="str">
        <x:v>Mechanical fault</x:v>
      </x:c>
      <x:c r="T120" s="29" t="str">
        <x:v>Dimension</x:v>
      </x:c>
      <x:c r="U120" s="30" t="n">
        <x:v>14</x:v>
      </x:c>
      <x:c r="V120" s="33" t="n">
        <x:v>218.3</x:v>
      </x:c>
      <x:c r="W120" s="34" t="n">
        <x:v>6.5</x:v>
      </x:c>
    </x:row>
    <x:row r="121">
      <x:c r="A121" s="28" t="n">
        <x:v>46243</x:v>
      </x:c>
      <x:c r="B121" s="29" t="str">
        <x:v>W06</x:v>
      </x:c>
      <x:c r="C121" s="29" t="str">
        <x:v>Night</x:v>
      </x:c>
      <x:c r="D121" s="29" t="str">
        <x:v>Line C</x:v>
      </x:c>
      <x:c r="E121" s="29" t="str">
        <x:v>Barrier Pack</x:v>
      </x:c>
      <x:c r="F121" s="29" t="str">
        <x:v>BPK-310</x:v>
      </x:c>
      <x:c r="G121" s="30" t="n">
        <x:v>450</x:v>
      </x:c>
      <x:c r="H121" s="30" t="n">
        <x:v>29</x:v>
      </x:c>
      <x:c r="I121" s="30" t="n">
        <x:v>421</x:v>
      </x:c>
      <x:c r="J121" s="31" t="n">
        <x:v>1.22</x:v>
      </x:c>
      <x:c r="K121" s="30" t="n">
        <x:v>20361</x:v>
      </x:c>
      <x:c r="L121" s="30" t="n">
        <x:v>17775</x:v>
      </x:c>
      <x:c r="M121" s="30" t="n">
        <x:v>17430</x:v>
      </x:c>
      <x:c r="N121" s="30" t="n">
        <x:v>345</x:v>
      </x:c>
      <x:c r="O121" s="32" t="n">
        <x:v>0.9355555555555556</x:v>
      </x:c>
      <x:c r="P121" s="32" t="n">
        <x:v>0.8584916864608076</x:v>
      </x:c>
      <x:c r="Q121" s="32" t="n">
        <x:v>0.980590717299578</x:v>
      </x:c>
      <x:c r="R121" s="32" t="n">
        <x:v>0.7875777777777778</x:v>
      </x:c>
      <x:c r="S121" s="29" t="str">
        <x:v>Quality check</x:v>
      </x:c>
      <x:c r="T121" s="29" t="str">
        <x:v>None</x:v>
      </x:c>
      <x:c r="U121" s="30" t="n">
        <x:v>22</x:v>
      </x:c>
      <x:c r="V121" s="33" t="n">
        <x:v>192.8</x:v>
      </x:c>
      <x:c r="W121" s="34" t="n">
        <x:v>7</x:v>
      </x:c>
    </x:row>
    <x:row r="122">
      <x:c r="A122" s="28" t="n">
        <x:v>46244</x:v>
      </x:c>
      <x:c r="B122" s="29" t="str">
        <x:v>W06</x:v>
      </x:c>
      <x:c r="C122" s="29" t="str">
        <x:v>Day</x:v>
      </x:c>
      <x:c r="D122" s="29" t="str">
        <x:v>Line B</x:v>
      </x:c>
      <x:c r="E122" s="29" t="str">
        <x:v>Actuator</x:v>
      </x:c>
      <x:c r="F122" s="29" t="str">
        <x:v>ACT-220</x:v>
      </x:c>
      <x:c r="G122" s="30" t="n">
        <x:v>450</x:v>
      </x:c>
      <x:c r="H122" s="30" t="n">
        <x:v>28</x:v>
      </x:c>
      <x:c r="I122" s="30" t="n">
        <x:v>422</x:v>
      </x:c>
      <x:c r="J122" s="31" t="n">
        <x:v>1.08</x:v>
      </x:c>
      <x:c r="K122" s="30" t="n">
        <x:v>23000</x:v>
      </x:c>
      <x:c r="L122" s="30" t="n">
        <x:v>20957</x:v>
      </x:c>
      <x:c r="M122" s="30" t="n">
        <x:v>20303</x:v>
      </x:c>
      <x:c r="N122" s="30" t="n">
        <x:v>654</x:v>
      </x:c>
      <x:c r="O122" s="32" t="n">
        <x:v>0.9377777777777778</x:v>
      </x:c>
      <x:c r="P122" s="32" t="n">
        <x:v>0.8939004739336494</x:v>
      </x:c>
      <x:c r="Q122" s="32" t="n">
        <x:v>0.9687932433077253</x:v>
      </x:c>
      <x:c r="R122" s="32" t="n">
        <x:v>0.8121200000000001</x:v>
      </x:c>
      <x:c r="S122" s="29" t="str">
        <x:v>Material shortage</x:v>
      </x:c>
      <x:c r="T122" s="29" t="str">
        <x:v>Cosmetic</x:v>
      </x:c>
      <x:c r="U122" s="30" t="n">
        <x:v>17</x:v>
      </x:c>
      <x:c r="V122" s="33" t="n">
        <x:v>170</x:v>
      </x:c>
      <x:c r="W122" s="34" t="n">
        <x:v>7</x:v>
      </x:c>
    </x:row>
    <x:row r="123">
      <x:c r="A123" s="28" t="n">
        <x:v>46244</x:v>
      </x:c>
      <x:c r="B123" s="29" t="str">
        <x:v>W06</x:v>
      </x:c>
      <x:c r="C123" s="29" t="str">
        <x:v>Late</x:v>
      </x:c>
      <x:c r="D123" s="29" t="str">
        <x:v>Line C</x:v>
      </x:c>
      <x:c r="E123" s="29" t="str">
        <x:v>Barrier Pack</x:v>
      </x:c>
      <x:c r="F123" s="29" t="str">
        <x:v>BPK-310</x:v>
      </x:c>
      <x:c r="G123" s="30" t="n">
        <x:v>450</x:v>
      </x:c>
      <x:c r="H123" s="30" t="n">
        <x:v>29</x:v>
      </x:c>
      <x:c r="I123" s="30" t="n">
        <x:v>421</x:v>
      </x:c>
      <x:c r="J123" s="31" t="n">
        <x:v>1.22</x:v>
      </x:c>
      <x:c r="K123" s="30" t="n">
        <x:v>20361</x:v>
      </x:c>
      <x:c r="L123" s="30" t="n">
        <x:v>17908</x:v>
      </x:c>
      <x:c r="M123" s="30" t="n">
        <x:v>17721</x:v>
      </x:c>
      <x:c r="N123" s="30" t="n">
        <x:v>187</x:v>
      </x:c>
      <x:c r="O123" s="32" t="n">
        <x:v>0.9355555555555556</x:v>
      </x:c>
      <x:c r="P123" s="32" t="n">
        <x:v>0.8649152810768012</x:v>
      </x:c>
      <x:c r="Q123" s="32" t="n">
        <x:v>0.9895577395577395</x:v>
      </x:c>
      <x:c r="R123" s="32" t="n">
        <x:v>0.8007266666666665</x:v>
      </x:c>
      <x:c r="S123" s="29" t="str">
        <x:v>Cleaning</x:v>
      </x:c>
      <x:c r="T123" s="29" t="str">
        <x:v>None</x:v>
      </x:c>
      <x:c r="U123" s="30" t="n">
        <x:v>20</x:v>
      </x:c>
      <x:c r="V123" s="33" t="n">
        <x:v>178.5</x:v>
      </x:c>
      <x:c r="W123" s="34" t="n">
        <x:v>7</x:v>
      </x:c>
    </x:row>
    <x:row r="124">
      <x:c r="A124" s="28" t="n">
        <x:v>46244</x:v>
      </x:c>
      <x:c r="B124" s="29" t="str">
        <x:v>W06</x:v>
      </x:c>
      <x:c r="C124" s="29" t="str">
        <x:v>Night</x:v>
      </x:c>
      <x:c r="D124" s="29" t="str">
        <x:v>Line A</x:v>
      </x:c>
      <x:c r="E124" s="29" t="str">
        <x:v>Valve</x:v>
      </x:c>
      <x:c r="F124" s="29" t="str">
        <x:v>VAL-100</x:v>
      </x:c>
      <x:c r="G124" s="30" t="n">
        <x:v>450</x:v>
      </x:c>
      <x:c r="H124" s="30" t="n">
        <x:v>55</x:v>
      </x:c>
      <x:c r="I124" s="30" t="n">
        <x:v>395</x:v>
      </x:c>
      <x:c r="J124" s="31" t="n">
        <x:v>0.96</x:v>
      </x:c>
      <x:c r="K124" s="30" t="n">
        <x:v>25875</x:v>
      </x:c>
      <x:c r="L124" s="30" t="n">
        <x:v>22961</x:v>
      </x:c>
      <x:c r="M124" s="30" t="n">
        <x:v>22346</x:v>
      </x:c>
      <x:c r="N124" s="30" t="n">
        <x:v>615</x:v>
      </x:c>
      <x:c r="O124" s="32" t="n">
        <x:v>0.8777777777777778</x:v>
      </x:c>
      <x:c r="P124" s="32" t="n">
        <x:v>0.93006582278481</x:v>
      </x:c>
      <x:c r="Q124" s="32" t="n">
        <x:v>0.9732154522886634</x:v>
      </x:c>
      <x:c r="R124" s="32" t="n">
        <x:v>0.7945244444444443</x:v>
      </x:c>
      <x:c r="S124" s="29" t="str">
        <x:v>Quality check</x:v>
      </x:c>
      <x:c r="T124" s="29" t="str">
        <x:v>Cosmetic</x:v>
      </x:c>
      <x:c r="U124" s="30" t="n">
        <x:v>30</x:v>
      </x:c>
      <x:c r="V124" s="33" t="n">
        <x:v>164.4</x:v>
      </x:c>
      <x:c r="W124" s="34" t="n">
        <x:v>6.6</x:v>
      </x:c>
    </x:row>
    <x:row r="125">
      <x:c r="A125" s="28" t="n">
        <x:v>46245</x:v>
      </x:c>
      <x:c r="B125" s="29" t="str">
        <x:v>W06</x:v>
      </x:c>
      <x:c r="C125" s="29" t="str">
        <x:v>Day</x:v>
      </x:c>
      <x:c r="D125" s="29" t="str">
        <x:v>Line C</x:v>
      </x:c>
      <x:c r="E125" s="29" t="str">
        <x:v>Barrier Pack</x:v>
      </x:c>
      <x:c r="F125" s="29" t="str">
        <x:v>BPK-310</x:v>
      </x:c>
      <x:c r="G125" s="30" t="n">
        <x:v>450</x:v>
      </x:c>
      <x:c r="H125" s="30" t="n">
        <x:v>56</x:v>
      </x:c>
      <x:c r="I125" s="30" t="n">
        <x:v>394</x:v>
      </x:c>
      <x:c r="J125" s="31" t="n">
        <x:v>1.22</x:v>
      </x:c>
      <x:c r="K125" s="30" t="n">
        <x:v>20361</x:v>
      </x:c>
      <x:c r="L125" s="30" t="n">
        <x:v>17029</x:v>
      </x:c>
      <x:c r="M125" s="30" t="n">
        <x:v>16774</x:v>
      </x:c>
      <x:c r="N125" s="30" t="n">
        <x:v>255</x:v>
      </x:c>
      <x:c r="O125" s="32" t="n">
        <x:v>0.8755555555555555</x:v>
      </x:c>
      <x:c r="P125" s="32" t="n">
        <x:v>0.8788231810490694</x:v>
      </x:c>
      <x:c r="Q125" s="32" t="n">
        <x:v>0.985025544659111</x:v>
      </x:c>
      <x:c r="R125" s="32" t="n">
        <x:v>0.7579362962962963</x:v>
      </x:c>
      <x:c r="S125" s="29" t="str">
        <x:v>Sensor fault</x:v>
      </x:c>
      <x:c r="T125" s="29" t="str">
        <x:v>None</x:v>
      </x:c>
      <x:c r="U125" s="30" t="n">
        <x:v>20</x:v>
      </x:c>
      <x:c r="V125" s="33" t="n">
        <x:v>199.1</x:v>
      </x:c>
      <x:c r="W125" s="34" t="n">
        <x:v>6.6</x:v>
      </x:c>
    </x:row>
    <x:row r="126">
      <x:c r="A126" s="28" t="n">
        <x:v>46245</x:v>
      </x:c>
      <x:c r="B126" s="29" t="str">
        <x:v>W06</x:v>
      </x:c>
      <x:c r="C126" s="29" t="str">
        <x:v>Late</x:v>
      </x:c>
      <x:c r="D126" s="29" t="str">
        <x:v>Line A</x:v>
      </x:c>
      <x:c r="E126" s="29" t="str">
        <x:v>Valve</x:v>
      </x:c>
      <x:c r="F126" s="29" t="str">
        <x:v>VAL-100</x:v>
      </x:c>
      <x:c r="G126" s="30" t="n">
        <x:v>450</x:v>
      </x:c>
      <x:c r="H126" s="30" t="n">
        <x:v>44</x:v>
      </x:c>
      <x:c r="I126" s="30" t="n">
        <x:v>406</x:v>
      </x:c>
      <x:c r="J126" s="31" t="n">
        <x:v>0.96</x:v>
      </x:c>
      <x:c r="K126" s="30" t="n">
        <x:v>25875</x:v>
      </x:c>
      <x:c r="L126" s="30" t="n">
        <x:v>22232</x:v>
      </x:c>
      <x:c r="M126" s="30" t="n">
        <x:v>21621</x:v>
      </x:c>
      <x:c r="N126" s="30" t="n">
        <x:v>611</x:v>
      </x:c>
      <x:c r="O126" s="32" t="n">
        <x:v>0.9022222222222223</x:v>
      </x:c>
      <x:c r="P126" s="32" t="n">
        <x:v>0.8761379310344827</x:v>
      </x:c>
      <x:c r="Q126" s="32" t="n">
        <x:v>0.9725170924793091</x:v>
      </x:c>
      <x:c r="R126" s="32" t="n">
        <x:v>0.7687466666666666</x:v>
      </x:c>
      <x:c r="S126" s="29" t="str">
        <x:v>Mechanical fault</x:v>
      </x:c>
      <x:c r="T126" s="29" t="str">
        <x:v>Seal</x:v>
      </x:c>
      <x:c r="U126" s="30" t="n">
        <x:v>8</x:v>
      </x:c>
      <x:c r="V126" s="33" t="n">
        <x:v>154.3</x:v>
      </x:c>
      <x:c r="W126" s="34" t="n">
        <x:v>6.8</x:v>
      </x:c>
    </x:row>
    <x:row r="127">
      <x:c r="A127" s="28" t="n">
        <x:v>46245</x:v>
      </x:c>
      <x:c r="B127" s="29" t="str">
        <x:v>W06</x:v>
      </x:c>
      <x:c r="C127" s="29" t="str">
        <x:v>Night</x:v>
      </x:c>
      <x:c r="D127" s="29" t="str">
        <x:v>Line B</x:v>
      </x:c>
      <x:c r="E127" s="29" t="str">
        <x:v>Actuator</x:v>
      </x:c>
      <x:c r="F127" s="29" t="str">
        <x:v>ACT-220</x:v>
      </x:c>
      <x:c r="G127" s="30" t="n">
        <x:v>450</x:v>
      </x:c>
      <x:c r="H127" s="30" t="n">
        <x:v>33</x:v>
      </x:c>
      <x:c r="I127" s="30" t="n">
        <x:v>417</x:v>
      </x:c>
      <x:c r="J127" s="31" t="n">
        <x:v>1.08</x:v>
      </x:c>
      <x:c r="K127" s="30" t="n">
        <x:v>23000</x:v>
      </x:c>
      <x:c r="L127" s="30" t="n">
        <x:v>20579</x:v>
      </x:c>
      <x:c r="M127" s="30" t="n">
        <x:v>20039</x:v>
      </x:c>
      <x:c r="N127" s="30" t="n">
        <x:v>540</x:v>
      </x:c>
      <x:c r="O127" s="32" t="n">
        <x:v>0.9266666666666666</x:v>
      </x:c>
      <x:c r="P127" s="32" t="n">
        <x:v>0.8883021582733813</x:v>
      </x:c>
      <x:c r="Q127" s="32" t="n">
        <x:v>0.9737596579036882</x:v>
      </x:c>
      <x:c r="R127" s="32" t="n">
        <x:v>0.80156</x:v>
      </x:c>
      <x:c r="S127" s="29" t="str">
        <x:v>Cleaning</x:v>
      </x:c>
      <x:c r="T127" s="29" t="str">
        <x:v>Dimension</x:v>
      </x:c>
      <x:c r="U127" s="30" t="n">
        <x:v>10</x:v>
      </x:c>
      <x:c r="V127" s="33" t="n">
        <x:v>185.1</x:v>
      </x:c>
      <x:c r="W127" s="34" t="n">
        <x:v>7</x:v>
      </x:c>
    </x:row>
    <x:row r="128">
      <x:c r="A128" s="28" t="n">
        <x:v>46246</x:v>
      </x:c>
      <x:c r="B128" s="29" t="str">
        <x:v>W07</x:v>
      </x:c>
      <x:c r="C128" s="29" t="str">
        <x:v>Day</x:v>
      </x:c>
      <x:c r="D128" s="29" t="str">
        <x:v>Line A</x:v>
      </x:c>
      <x:c r="E128" s="29" t="str">
        <x:v>Valve</x:v>
      </x:c>
      <x:c r="F128" s="29" t="str">
        <x:v>VAL-100</x:v>
      </x:c>
      <x:c r="G128" s="30" t="n">
        <x:v>450</x:v>
      </x:c>
      <x:c r="H128" s="30" t="n">
        <x:v>71</x:v>
      </x:c>
      <x:c r="I128" s="30" t="n">
        <x:v>379</x:v>
      </x:c>
      <x:c r="J128" s="31" t="n">
        <x:v>0.96</x:v>
      </x:c>
      <x:c r="K128" s="30" t="n">
        <x:v>25875</x:v>
      </x:c>
      <x:c r="L128" s="30" t="n">
        <x:v>20100</x:v>
      </x:c>
      <x:c r="M128" s="30" t="n">
        <x:v>19439</x:v>
      </x:c>
      <x:c r="N128" s="30" t="n">
        <x:v>661</x:v>
      </x:c>
      <x:c r="O128" s="32" t="n">
        <x:v>0.8422222222222222</x:v>
      </x:c>
      <x:c r="P128" s="32" t="n">
        <x:v>0.8485488126649077</x:v>
      </x:c>
      <x:c r="Q128" s="32" t="n">
        <x:v>0.9671144278606966</x:v>
      </x:c>
      <x:c r="R128" s="32" t="n">
        <x:v>0.6911644444444445</x:v>
      </x:c>
      <x:c r="S128" s="29" t="str">
        <x:v>Cleaning</x:v>
      </x:c>
      <x:c r="T128" s="29" t="str">
        <x:v>Cosmetic</x:v>
      </x:c>
      <x:c r="U128" s="30" t="n">
        <x:v>28</x:v>
      </x:c>
      <x:c r="V128" s="33" t="n">
        <x:v>166.4</x:v>
      </x:c>
      <x:c r="W128" s="34" t="n">
        <x:v>6.3</x:v>
      </x:c>
    </x:row>
    <x:row r="129">
      <x:c r="A129" s="28" t="n">
        <x:v>46246</x:v>
      </x:c>
      <x:c r="B129" s="29" t="str">
        <x:v>W07</x:v>
      </x:c>
      <x:c r="C129" s="29" t="str">
        <x:v>Late</x:v>
      </x:c>
      <x:c r="D129" s="29" t="str">
        <x:v>Line B</x:v>
      </x:c>
      <x:c r="E129" s="29" t="str">
        <x:v>Actuator</x:v>
      </x:c>
      <x:c r="F129" s="29" t="str">
        <x:v>ACT-220</x:v>
      </x:c>
      <x:c r="G129" s="30" t="n">
        <x:v>450</x:v>
      </x:c>
      <x:c r="H129" s="30" t="n">
        <x:v>51</x:v>
      </x:c>
      <x:c r="I129" s="30" t="n">
        <x:v>399</x:v>
      </x:c>
      <x:c r="J129" s="31" t="n">
        <x:v>1.08</x:v>
      </x:c>
      <x:c r="K129" s="30" t="n">
        <x:v>23000</x:v>
      </x:c>
      <x:c r="L129" s="30" t="n">
        <x:v>18780</x:v>
      </x:c>
      <x:c r="M129" s="30" t="n">
        <x:v>18195</x:v>
      </x:c>
      <x:c r="N129" s="30" t="n">
        <x:v>585</x:v>
      </x:c>
      <x:c r="O129" s="32" t="n">
        <x:v>0.8866666666666667</x:v>
      </x:c>
      <x:c r="P129" s="32" t="n">
        <x:v>0.847218045112782</x:v>
      </x:c>
      <x:c r="Q129" s="32" t="n">
        <x:v>0.9688498402555911</x:v>
      </x:c>
      <x:c r="R129" s="32" t="n">
        <x:v>0.7278000000000001</x:v>
      </x:c>
      <x:c r="S129" s="29" t="str">
        <x:v>Cleaning</x:v>
      </x:c>
      <x:c r="T129" s="29" t="str">
        <x:v>Dimension</x:v>
      </x:c>
      <x:c r="U129" s="30" t="n">
        <x:v>30</x:v>
      </x:c>
      <x:c r="V129" s="33" t="n">
        <x:v>224.3</x:v>
      </x:c>
      <x:c r="W129" s="34" t="n">
        <x:v>6.7</x:v>
      </x:c>
    </x:row>
    <x:row r="130">
      <x:c r="A130" s="28" t="n">
        <x:v>46246</x:v>
      </x:c>
      <x:c r="B130" s="29" t="str">
        <x:v>W07</x:v>
      </x:c>
      <x:c r="C130" s="29" t="str">
        <x:v>Night</x:v>
      </x:c>
      <x:c r="D130" s="29" t="str">
        <x:v>Line C</x:v>
      </x:c>
      <x:c r="E130" s="29" t="str">
        <x:v>Barrier Pack</x:v>
      </x:c>
      <x:c r="F130" s="29" t="str">
        <x:v>BPK-310</x:v>
      </x:c>
      <x:c r="G130" s="30" t="n">
        <x:v>450</x:v>
      </x:c>
      <x:c r="H130" s="30" t="n">
        <x:v>45</x:v>
      </x:c>
      <x:c r="I130" s="30" t="n">
        <x:v>405</x:v>
      </x:c>
      <x:c r="J130" s="31" t="n">
        <x:v>1.22</x:v>
      </x:c>
      <x:c r="K130" s="30" t="n">
        <x:v>20361</x:v>
      </x:c>
      <x:c r="L130" s="30" t="n">
        <x:v>18922</x:v>
      </x:c>
      <x:c r="M130" s="30" t="n">
        <x:v>18475</x:v>
      </x:c>
      <x:c r="N130" s="30" t="n">
        <x:v>447</x:v>
      </x:c>
      <x:c r="O130" s="32" t="n">
        <x:v>0.9</x:v>
      </x:c>
      <x:c r="P130" s="32" t="n">
        <x:v>0.9499934156378601</x:v>
      </x:c>
      <x:c r="Q130" s="32" t="n">
        <x:v>0.9763767043652891</x:v>
      </x:c>
      <x:c r="R130" s="32" t="n">
        <x:v>0.8347962962962964</x:v>
      </x:c>
      <x:c r="S130" s="29" t="str">
        <x:v>Material shortage</x:v>
      </x:c>
      <x:c r="T130" s="29" t="str">
        <x:v>Cosmetic</x:v>
      </x:c>
      <x:c r="U130" s="30" t="n">
        <x:v>11</x:v>
      </x:c>
      <x:c r="V130" s="33" t="n">
        <x:v>152.4</x:v>
      </x:c>
      <x:c r="W130" s="34" t="n">
        <x:v>6.8</x:v>
      </x:c>
    </x:row>
    <x:row r="131">
      <x:c r="A131" s="28" t="n">
        <x:v>46247</x:v>
      </x:c>
      <x:c r="B131" s="29" t="str">
        <x:v>W07</x:v>
      </x:c>
      <x:c r="C131" s="29" t="str">
        <x:v>Day</x:v>
      </x:c>
      <x:c r="D131" s="29" t="str">
        <x:v>Line B</x:v>
      </x:c>
      <x:c r="E131" s="29" t="str">
        <x:v>Actuator</x:v>
      </x:c>
      <x:c r="F131" s="29" t="str">
        <x:v>ACT-220</x:v>
      </x:c>
      <x:c r="G131" s="30" t="n">
        <x:v>450</x:v>
      </x:c>
      <x:c r="H131" s="30" t="n">
        <x:v>33</x:v>
      </x:c>
      <x:c r="I131" s="30" t="n">
        <x:v>417</x:v>
      </x:c>
      <x:c r="J131" s="31" t="n">
        <x:v>1.08</x:v>
      </x:c>
      <x:c r="K131" s="30" t="n">
        <x:v>23000</x:v>
      </x:c>
      <x:c r="L131" s="30" t="n">
        <x:v>21168</x:v>
      </x:c>
      <x:c r="M131" s="30" t="n">
        <x:v>20737</x:v>
      </x:c>
      <x:c r="N131" s="30" t="n">
        <x:v>431</x:v>
      </x:c>
      <x:c r="O131" s="32" t="n">
        <x:v>0.9266666666666666</x:v>
      </x:c>
      <x:c r="P131" s="32" t="n">
        <x:v>0.913726618705036</x:v>
      </x:c>
      <x:c r="Q131" s="32" t="n">
        <x:v>0.9796390778533636</x:v>
      </x:c>
      <x:c r="R131" s="32" t="n">
        <x:v>0.82948</x:v>
      </x:c>
      <x:c r="S131" s="29" t="str">
        <x:v>Material shortage</x:v>
      </x:c>
      <x:c r="T131" s="29" t="str">
        <x:v>Assembly</x:v>
      </x:c>
      <x:c r="U131" s="30" t="n">
        <x:v>9</x:v>
      </x:c>
      <x:c r="V131" s="33" t="n">
        <x:v>157.4</x:v>
      </x:c>
      <x:c r="W131" s="34" t="n">
        <x:v>7</x:v>
      </x:c>
    </x:row>
    <x:row r="132">
      <x:c r="A132" s="28" t="n">
        <x:v>46247</x:v>
      </x:c>
      <x:c r="B132" s="29" t="str">
        <x:v>W07</x:v>
      </x:c>
      <x:c r="C132" s="29" t="str">
        <x:v>Late</x:v>
      </x:c>
      <x:c r="D132" s="29" t="str">
        <x:v>Line C</x:v>
      </x:c>
      <x:c r="E132" s="29" t="str">
        <x:v>Barrier Pack</x:v>
      </x:c>
      <x:c r="F132" s="29" t="str">
        <x:v>BPK-310</x:v>
      </x:c>
      <x:c r="G132" s="30" t="n">
        <x:v>450</x:v>
      </x:c>
      <x:c r="H132" s="30" t="n">
        <x:v>29</x:v>
      </x:c>
      <x:c r="I132" s="30" t="n">
        <x:v>421</x:v>
      </x:c>
      <x:c r="J132" s="31" t="n">
        <x:v>1.22</x:v>
      </x:c>
      <x:c r="K132" s="30" t="n">
        <x:v>20361</x:v>
      </x:c>
      <x:c r="L132" s="30" t="n">
        <x:v>17844</x:v>
      </x:c>
      <x:c r="M132" s="30" t="n">
        <x:v>17312</x:v>
      </x:c>
      <x:c r="N132" s="30" t="n">
        <x:v>532</x:v>
      </x:c>
      <x:c r="O132" s="32" t="n">
        <x:v>0.9355555555555556</x:v>
      </x:c>
      <x:c r="P132" s="32" t="n">
        <x:v>0.8618242280285036</x:v>
      </x:c>
      <x:c r="Q132" s="32" t="n">
        <x:v>0.9701860569379063</x:v>
      </x:c>
      <x:c r="R132" s="32" t="n">
        <x:v>0.7822459259259259</x:v>
      </x:c>
      <x:c r="S132" s="29" t="str">
        <x:v>Sensor fault</x:v>
      </x:c>
      <x:c r="T132" s="29" t="str">
        <x:v>Assembly</x:v>
      </x:c>
      <x:c r="U132" s="30" t="n">
        <x:v>11</x:v>
      </x:c>
      <x:c r="V132" s="33" t="n">
        <x:v>217.3</x:v>
      </x:c>
      <x:c r="W132" s="34" t="n">
        <x:v>7</x:v>
      </x:c>
    </x:row>
    <x:row r="133">
      <x:c r="A133" s="28" t="n">
        <x:v>46247</x:v>
      </x:c>
      <x:c r="B133" s="29" t="str">
        <x:v>W07</x:v>
      </x:c>
      <x:c r="C133" s="29" t="str">
        <x:v>Night</x:v>
      </x:c>
      <x:c r="D133" s="29" t="str">
        <x:v>Line A</x:v>
      </x:c>
      <x:c r="E133" s="29" t="str">
        <x:v>Valve</x:v>
      </x:c>
      <x:c r="F133" s="29" t="str">
        <x:v>VAL-100</x:v>
      </x:c>
      <x:c r="G133" s="30" t="n">
        <x:v>450</x:v>
      </x:c>
      <x:c r="H133" s="30" t="n">
        <x:v>53</x:v>
      </x:c>
      <x:c r="I133" s="30" t="n">
        <x:v>397</x:v>
      </x:c>
      <x:c r="J133" s="31" t="n">
        <x:v>0.96</x:v>
      </x:c>
      <x:c r="K133" s="30" t="n">
        <x:v>25875</x:v>
      </x:c>
      <x:c r="L133" s="30" t="n">
        <x:v>22498</x:v>
      </x:c>
      <x:c r="M133" s="30" t="n">
        <x:v>22345</x:v>
      </x:c>
      <x:c r="N133" s="30" t="n">
        <x:v>153</x:v>
      </x:c>
      <x:c r="O133" s="32" t="n">
        <x:v>0.8822222222222222</x:v>
      </x:c>
      <x:c r="P133" s="32" t="n">
        <x:v>0.90672040302267</x:v>
      </x:c>
      <x:c r="Q133" s="32" t="n">
        <x:v>0.9931993955018223</x:v>
      </x:c>
      <x:c r="R133" s="32" t="n">
        <x:v>0.7944888888888889</x:v>
      </x:c>
      <x:c r="S133" s="29" t="str">
        <x:v>Sensor fault</x:v>
      </x:c>
      <x:c r="T133" s="29" t="str">
        <x:v>None</x:v>
      </x:c>
      <x:c r="U133" s="30" t="n">
        <x:v>17</x:v>
      </x:c>
      <x:c r="V133" s="33" t="n">
        <x:v>216.6</x:v>
      </x:c>
      <x:c r="W133" s="34" t="n">
        <x:v>6.6</x:v>
      </x:c>
    </x:row>
    <x:row r="134">
      <x:c r="A134" s="28" t="n">
        <x:v>46248</x:v>
      </x:c>
      <x:c r="B134" s="29" t="str">
        <x:v>W07</x:v>
      </x:c>
      <x:c r="C134" s="29" t="str">
        <x:v>Day</x:v>
      </x:c>
      <x:c r="D134" s="29" t="str">
        <x:v>Line C</x:v>
      </x:c>
      <x:c r="E134" s="29" t="str">
        <x:v>Barrier Pack</x:v>
      </x:c>
      <x:c r="F134" s="29" t="str">
        <x:v>BPK-310</x:v>
      </x:c>
      <x:c r="G134" s="30" t="n">
        <x:v>450</x:v>
      </x:c>
      <x:c r="H134" s="30" t="n">
        <x:v>36</x:v>
      </x:c>
      <x:c r="I134" s="30" t="n">
        <x:v>414</x:v>
      </x:c>
      <x:c r="J134" s="31" t="n">
        <x:v>1.22</x:v>
      </x:c>
      <x:c r="K134" s="30" t="n">
        <x:v>20361</x:v>
      </x:c>
      <x:c r="L134" s="30" t="n">
        <x:v>19321</x:v>
      </x:c>
      <x:c r="M134" s="30" t="n">
        <x:v>19061</x:v>
      </x:c>
      <x:c r="N134" s="30" t="n">
        <x:v>260</x:v>
      </x:c>
      <x:c r="O134" s="32" t="n">
        <x:v>0.92</x:v>
      </x:c>
      <x:c r="P134" s="32" t="n">
        <x:v>0.9489380032206118</x:v>
      </x:c>
      <x:c r="Q134" s="32" t="n">
        <x:v>0.9865431395890482</x:v>
      </x:c>
      <x:c r="R134" s="32" t="n">
        <x:v>0.8612748148148147</x:v>
      </x:c>
      <x:c r="S134" s="29" t="str">
        <x:v>Cleaning</x:v>
      </x:c>
      <x:c r="T134" s="29" t="str">
        <x:v>None</x:v>
      </x:c>
      <x:c r="U134" s="30" t="n">
        <x:v>23</x:v>
      </x:c>
      <x:c r="V134" s="33" t="n">
        <x:v>181.3</x:v>
      </x:c>
      <x:c r="W134" s="34" t="n">
        <x:v>6.9</x:v>
      </x:c>
    </x:row>
    <x:row r="135">
      <x:c r="A135" s="28" t="n">
        <x:v>46248</x:v>
      </x:c>
      <x:c r="B135" s="29" t="str">
        <x:v>W07</x:v>
      </x:c>
      <x:c r="C135" s="29" t="str">
        <x:v>Late</x:v>
      </x:c>
      <x:c r="D135" s="29" t="str">
        <x:v>Line A</x:v>
      </x:c>
      <x:c r="E135" s="29" t="str">
        <x:v>Valve</x:v>
      </x:c>
      <x:c r="F135" s="29" t="str">
        <x:v>VAL-100</x:v>
      </x:c>
      <x:c r="G135" s="30" t="n">
        <x:v>450</x:v>
      </x:c>
      <x:c r="H135" s="30" t="n">
        <x:v>53</x:v>
      </x:c>
      <x:c r="I135" s="30" t="n">
        <x:v>397</x:v>
      </x:c>
      <x:c r="J135" s="31" t="n">
        <x:v>0.96</x:v>
      </x:c>
      <x:c r="K135" s="30" t="n">
        <x:v>25875</x:v>
      </x:c>
      <x:c r="L135" s="30" t="n">
        <x:v>22698</x:v>
      </x:c>
      <x:c r="M135" s="30" t="n">
        <x:v>22092</x:v>
      </x:c>
      <x:c r="N135" s="30" t="n">
        <x:v>606</x:v>
      </x:c>
      <x:c r="O135" s="32" t="n">
        <x:v>0.8822222222222222</x:v>
      </x:c>
      <x:c r="P135" s="32" t="n">
        <x:v>0.9147808564231737</x:v>
      </x:c>
      <x:c r="Q135" s="32" t="n">
        <x:v>0.9733016124768702</x:v>
      </x:c>
      <x:c r="R135" s="32" t="n">
        <x:v>0.7854933333333333</x:v>
      </x:c>
      <x:c r="S135" s="29" t="str">
        <x:v>Cleaning</x:v>
      </x:c>
      <x:c r="T135" s="29" t="str">
        <x:v>Assembly</x:v>
      </x:c>
      <x:c r="U135" s="30" t="n">
        <x:v>17</x:v>
      </x:c>
      <x:c r="V135" s="33" t="n">
        <x:v>199.4</x:v>
      </x:c>
      <x:c r="W135" s="34" t="n">
        <x:v>6.6</x:v>
      </x:c>
    </x:row>
    <x:row r="136">
      <x:c r="A136" s="28" t="n">
        <x:v>46248</x:v>
      </x:c>
      <x:c r="B136" s="29" t="str">
        <x:v>W07</x:v>
      </x:c>
      <x:c r="C136" s="29" t="str">
        <x:v>Night</x:v>
      </x:c>
      <x:c r="D136" s="29" t="str">
        <x:v>Line B</x:v>
      </x:c>
      <x:c r="E136" s="29" t="str">
        <x:v>Actuator</x:v>
      </x:c>
      <x:c r="F136" s="29" t="str">
        <x:v>ACT-220</x:v>
      </x:c>
      <x:c r="G136" s="30" t="n">
        <x:v>450</x:v>
      </x:c>
      <x:c r="H136" s="30" t="n">
        <x:v>37</x:v>
      </x:c>
      <x:c r="I136" s="30" t="n">
        <x:v>413</x:v>
      </x:c>
      <x:c r="J136" s="31" t="n">
        <x:v>1.08</x:v>
      </x:c>
      <x:c r="K136" s="30" t="n">
        <x:v>23000</x:v>
      </x:c>
      <x:c r="L136" s="30" t="n">
        <x:v>21458</x:v>
      </x:c>
      <x:c r="M136" s="30" t="n">
        <x:v>20997</x:v>
      </x:c>
      <x:c r="N136" s="30" t="n">
        <x:v>461</x:v>
      </x:c>
      <x:c r="O136" s="32" t="n">
        <x:v>0.9177777777777778</x:v>
      </x:c>
      <x:c r="P136" s="32" t="n">
        <x:v>0.9352154963680389</x:v>
      </x:c>
      <x:c r="Q136" s="32" t="n">
        <x:v>0.9785161711249883</x:v>
      </x:c>
      <x:c r="R136" s="32" t="n">
        <x:v>0.8398800000000002</x:v>
      </x:c>
      <x:c r="S136" s="29" t="str">
        <x:v>Quality check</x:v>
      </x:c>
      <x:c r="T136" s="29" t="str">
        <x:v>Leak test</x:v>
      </x:c>
      <x:c r="U136" s="30" t="n">
        <x:v>11</x:v>
      </x:c>
      <x:c r="V136" s="33" t="n">
        <x:v>157.5</x:v>
      </x:c>
      <x:c r="W136" s="34" t="n">
        <x:v>6.9</x:v>
      </x:c>
    </x:row>
    <x:row r="137">
      <x:c r="A137" s="28" t="n">
        <x:v>46249</x:v>
      </x:c>
      <x:c r="B137" s="29" t="str">
        <x:v>W07</x:v>
      </x:c>
      <x:c r="C137" s="29" t="str">
        <x:v>Day</x:v>
      </x:c>
      <x:c r="D137" s="29" t="str">
        <x:v>Line A</x:v>
      </x:c>
      <x:c r="E137" s="29" t="str">
        <x:v>Valve</x:v>
      </x:c>
      <x:c r="F137" s="29" t="str">
        <x:v>VAL-100</x:v>
      </x:c>
      <x:c r="G137" s="30" t="n">
        <x:v>450</x:v>
      </x:c>
      <x:c r="H137" s="30" t="n">
        <x:v>28</x:v>
      </x:c>
      <x:c r="I137" s="30" t="n">
        <x:v>422</x:v>
      </x:c>
      <x:c r="J137" s="31" t="n">
        <x:v>0.96</x:v>
      </x:c>
      <x:c r="K137" s="30" t="n">
        <x:v>25875</x:v>
      </x:c>
      <x:c r="L137" s="30" t="n">
        <x:v>23388</x:v>
      </x:c>
      <x:c r="M137" s="30" t="n">
        <x:v>22955</x:v>
      </x:c>
      <x:c r="N137" s="30" t="n">
        <x:v>433</x:v>
      </x:c>
      <x:c r="O137" s="32" t="n">
        <x:v>0.9377777777777778</x:v>
      </x:c>
      <x:c r="P137" s="32" t="n">
        <x:v>0.8867488151658768</x:v>
      </x:c>
      <x:c r="Q137" s="32" t="n">
        <x:v>0.9814862322558577</x:v>
      </x:c>
      <x:c r="R137" s="32" t="n">
        <x:v>0.8161777777777779</x:v>
      </x:c>
      <x:c r="S137" s="29" t="str">
        <x:v>Changeover</x:v>
      </x:c>
      <x:c r="T137" s="29" t="str">
        <x:v>Seal</x:v>
      </x:c>
      <x:c r="U137" s="30" t="n">
        <x:v>15</x:v>
      </x:c>
      <x:c r="V137" s="33" t="n">
        <x:v>173.1</x:v>
      </x:c>
      <x:c r="W137" s="34" t="n">
        <x:v>7</x:v>
      </x:c>
    </x:row>
    <x:row r="138">
      <x:c r="A138" s="28" t="n">
        <x:v>46249</x:v>
      </x:c>
      <x:c r="B138" s="29" t="str">
        <x:v>W07</x:v>
      </x:c>
      <x:c r="C138" s="29" t="str">
        <x:v>Late</x:v>
      </x:c>
      <x:c r="D138" s="29" t="str">
        <x:v>Line B</x:v>
      </x:c>
      <x:c r="E138" s="29" t="str">
        <x:v>Actuator</x:v>
      </x:c>
      <x:c r="F138" s="29" t="str">
        <x:v>ACT-220</x:v>
      </x:c>
      <x:c r="G138" s="30" t="n">
        <x:v>450</x:v>
      </x:c>
      <x:c r="H138" s="30" t="n">
        <x:v>67</x:v>
      </x:c>
      <x:c r="I138" s="30" t="n">
        <x:v>383</x:v>
      </x:c>
      <x:c r="J138" s="31" t="n">
        <x:v>1.08</x:v>
      </x:c>
      <x:c r="K138" s="30" t="n">
        <x:v>23000</x:v>
      </x:c>
      <x:c r="L138" s="30" t="n">
        <x:v>18493</x:v>
      </x:c>
      <x:c r="M138" s="30" t="n">
        <x:v>18231</x:v>
      </x:c>
      <x:c r="N138" s="30" t="n">
        <x:v>262</x:v>
      </x:c>
      <x:c r="O138" s="32" t="n">
        <x:v>0.8511111111111112</x:v>
      </x:c>
      <x:c r="P138" s="32" t="n">
        <x:v>0.8691227154046999</x:v>
      </x:c>
      <x:c r="Q138" s="32" t="n">
        <x:v>0.9858324771535175</x:v>
      </x:c>
      <x:c r="R138" s="32" t="n">
        <x:v>0.7292400000000001</x:v>
      </x:c>
      <x:c r="S138" s="29" t="str">
        <x:v>Material shortage</x:v>
      </x:c>
      <x:c r="T138" s="29" t="str">
        <x:v>None</x:v>
      </x:c>
      <x:c r="U138" s="30" t="n">
        <x:v>27</x:v>
      </x:c>
      <x:c r="V138" s="33" t="n">
        <x:v>159.7</x:v>
      </x:c>
      <x:c r="W138" s="34" t="n">
        <x:v>6.4</x:v>
      </x:c>
    </x:row>
    <x:row r="139">
      <x:c r="A139" s="28" t="n">
        <x:v>46249</x:v>
      </x:c>
      <x:c r="B139" s="29" t="str">
        <x:v>W07</x:v>
      </x:c>
      <x:c r="C139" s="29" t="str">
        <x:v>Night</x:v>
      </x:c>
      <x:c r="D139" s="29" t="str">
        <x:v>Line C</x:v>
      </x:c>
      <x:c r="E139" s="29" t="str">
        <x:v>Barrier Pack</x:v>
      </x:c>
      <x:c r="F139" s="29" t="str">
        <x:v>BPK-310</x:v>
      </x:c>
      <x:c r="G139" s="30" t="n">
        <x:v>450</x:v>
      </x:c>
      <x:c r="H139" s="30" t="n">
        <x:v>39</x:v>
      </x:c>
      <x:c r="I139" s="30" t="n">
        <x:v>411</x:v>
      </x:c>
      <x:c r="J139" s="31" t="n">
        <x:v>1.22</x:v>
      </x:c>
      <x:c r="K139" s="30" t="n">
        <x:v>20361</x:v>
      </x:c>
      <x:c r="L139" s="30" t="n">
        <x:v>17066</x:v>
      </x:c>
      <x:c r="M139" s="30" t="n">
        <x:v>16519</x:v>
      </x:c>
      <x:c r="N139" s="30" t="n">
        <x:v>547</x:v>
      </x:c>
      <x:c r="O139" s="32" t="n">
        <x:v>0.9133333333333333</x:v>
      </x:c>
      <x:c r="P139" s="32" t="n">
        <x:v>0.8443033252230333</x:v>
      </x:c>
      <x:c r="Q139" s="32" t="n">
        <x:v>0.9679479667174499</x:v>
      </x:c>
      <x:c r="R139" s="32" t="n">
        <x:v>0.7464140740740741</x:v>
      </x:c>
      <x:c r="S139" s="29" t="str">
        <x:v>Sensor fault</x:v>
      </x:c>
      <x:c r="T139" s="29" t="str">
        <x:v>Seal</x:v>
      </x:c>
      <x:c r="U139" s="30" t="n">
        <x:v>27</x:v>
      </x:c>
      <x:c r="V139" s="33" t="n">
        <x:v>175.3</x:v>
      </x:c>
      <x:c r="W139" s="34" t="n">
        <x:v>6.9</x:v>
      </x:c>
    </x:row>
    <x:row r="140">
      <x:c r="A140" s="28" t="n">
        <x:v>46250</x:v>
      </x:c>
      <x:c r="B140" s="29" t="str">
        <x:v>W07</x:v>
      </x:c>
      <x:c r="C140" s="29" t="str">
        <x:v>Day</x:v>
      </x:c>
      <x:c r="D140" s="29" t="str">
        <x:v>Line B</x:v>
      </x:c>
      <x:c r="E140" s="29" t="str">
        <x:v>Actuator</x:v>
      </x:c>
      <x:c r="F140" s="29" t="str">
        <x:v>ACT-220</x:v>
      </x:c>
      <x:c r="G140" s="30" t="n">
        <x:v>450</x:v>
      </x:c>
      <x:c r="H140" s="30" t="n">
        <x:v>51</x:v>
      </x:c>
      <x:c r="I140" s="30" t="n">
        <x:v>399</x:v>
      </x:c>
      <x:c r="J140" s="31" t="n">
        <x:v>1.08</x:v>
      </x:c>
      <x:c r="K140" s="30" t="n">
        <x:v>23000</x:v>
      </x:c>
      <x:c r="L140" s="30" t="n">
        <x:v>19460</x:v>
      </x:c>
      <x:c r="M140" s="30" t="n">
        <x:v>18893</x:v>
      </x:c>
      <x:c r="N140" s="30" t="n">
        <x:v>567</x:v>
      </x:c>
      <x:c r="O140" s="32" t="n">
        <x:v>0.8866666666666667</x:v>
      </x:c>
      <x:c r="P140" s="32" t="n">
        <x:v>0.8778947368421054</x:v>
      </x:c>
      <x:c r="Q140" s="32" t="n">
        <x:v>0.970863309352518</x:v>
      </x:c>
      <x:c r="R140" s="32" t="n">
        <x:v>0.7557200000000002</x:v>
      </x:c>
      <x:c r="S140" s="29" t="str">
        <x:v>Material shortage</x:v>
      </x:c>
      <x:c r="T140" s="29" t="str">
        <x:v>Cosmetic</x:v>
      </x:c>
      <x:c r="U140" s="30" t="n">
        <x:v>10</x:v>
      </x:c>
      <x:c r="V140" s="33" t="n">
        <x:v>188.2</x:v>
      </x:c>
      <x:c r="W140" s="34" t="n">
        <x:v>6.7</x:v>
      </x:c>
    </x:row>
    <x:row r="141">
      <x:c r="A141" s="28" t="n">
        <x:v>46250</x:v>
      </x:c>
      <x:c r="B141" s="29" t="str">
        <x:v>W07</x:v>
      </x:c>
      <x:c r="C141" s="29" t="str">
        <x:v>Late</x:v>
      </x:c>
      <x:c r="D141" s="29" t="str">
        <x:v>Line C</x:v>
      </x:c>
      <x:c r="E141" s="29" t="str">
        <x:v>Barrier Pack</x:v>
      </x:c>
      <x:c r="F141" s="29" t="str">
        <x:v>BPK-310</x:v>
      </x:c>
      <x:c r="G141" s="30" t="n">
        <x:v>450</x:v>
      </x:c>
      <x:c r="H141" s="30" t="n">
        <x:v>23</x:v>
      </x:c>
      <x:c r="I141" s="30" t="n">
        <x:v>427</x:v>
      </x:c>
      <x:c r="J141" s="31" t="n">
        <x:v>1.22</x:v>
      </x:c>
      <x:c r="K141" s="30" t="n">
        <x:v>20361</x:v>
      </x:c>
      <x:c r="L141" s="30" t="n">
        <x:v>19984</x:v>
      </x:c>
      <x:c r="M141" s="30" t="n">
        <x:v>19562</x:v>
      </x:c>
      <x:c r="N141" s="30" t="n">
        <x:v>422</x:v>
      </x:c>
      <x:c r="O141" s="32" t="n">
        <x:v>0.9488888888888889</x:v>
      </x:c>
      <x:c r="P141" s="32" t="n">
        <x:v>0.9516190476190476</x:v>
      </x:c>
      <x:c r="Q141" s="32" t="n">
        <x:v>0.9788831064851882</x:v>
      </x:c>
      <x:c r="R141" s="32" t="n">
        <x:v>0.8839125925925926</x:v>
      </x:c>
      <x:c r="S141" s="29" t="str">
        <x:v>Sensor fault</x:v>
      </x:c>
      <x:c r="T141" s="29" t="str">
        <x:v>Cosmetic</x:v>
      </x:c>
      <x:c r="U141" s="30" t="n">
        <x:v>11</x:v>
      </x:c>
      <x:c r="V141" s="33" t="n">
        <x:v>219.2</x:v>
      </x:c>
      <x:c r="W141" s="34" t="n">
        <x:v>7.1</x:v>
      </x:c>
    </x:row>
    <x:row r="142">
      <x:c r="A142" s="28" t="n">
        <x:v>46250</x:v>
      </x:c>
      <x:c r="B142" s="29" t="str">
        <x:v>W07</x:v>
      </x:c>
      <x:c r="C142" s="29" t="str">
        <x:v>Night</x:v>
      </x:c>
      <x:c r="D142" s="29" t="str">
        <x:v>Line A</x:v>
      </x:c>
      <x:c r="E142" s="29" t="str">
        <x:v>Valve</x:v>
      </x:c>
      <x:c r="F142" s="29" t="str">
        <x:v>VAL-100</x:v>
      </x:c>
      <x:c r="G142" s="30" t="n">
        <x:v>450</x:v>
      </x:c>
      <x:c r="H142" s="30" t="n">
        <x:v>62</x:v>
      </x:c>
      <x:c r="I142" s="30" t="n">
        <x:v>388</x:v>
      </x:c>
      <x:c r="J142" s="31" t="n">
        <x:v>0.96</x:v>
      </x:c>
      <x:c r="K142" s="30" t="n">
        <x:v>25875</x:v>
      </x:c>
      <x:c r="L142" s="30" t="n">
        <x:v>22528</x:v>
      </x:c>
      <x:c r="M142" s="30" t="n">
        <x:v>22058</x:v>
      </x:c>
      <x:c r="N142" s="30" t="n">
        <x:v>470</x:v>
      </x:c>
      <x:c r="O142" s="32" t="n">
        <x:v>0.8622222222222222</x:v>
      </x:c>
      <x:c r="P142" s="32" t="n">
        <x:v>0.9289896907216494</x:v>
      </x:c>
      <x:c r="Q142" s="32" t="n">
        <x:v>0.9791370738636364</x:v>
      </x:c>
      <x:c r="R142" s="32" t="n">
        <x:v>0.7842844444444443</x:v>
      </x:c>
      <x:c r="S142" s="29" t="str">
        <x:v>Changeover</x:v>
      </x:c>
      <x:c r="T142" s="29" t="str">
        <x:v>Dimension</x:v>
      </x:c>
      <x:c r="U142" s="30" t="n">
        <x:v>22</x:v>
      </x:c>
      <x:c r="V142" s="33" t="n">
        <x:v>178.9</x:v>
      </x:c>
      <x:c r="W142" s="34" t="n">
        <x:v>6.5</x:v>
      </x:c>
    </x:row>
    <x:row r="143">
      <x:c r="A143" s="28" t="n">
        <x:v>46251</x:v>
      </x:c>
      <x:c r="B143" s="29" t="str">
        <x:v>W07</x:v>
      </x:c>
      <x:c r="C143" s="29" t="str">
        <x:v>Day</x:v>
      </x:c>
      <x:c r="D143" s="29" t="str">
        <x:v>Line C</x:v>
      </x:c>
      <x:c r="E143" s="29" t="str">
        <x:v>Barrier Pack</x:v>
      </x:c>
      <x:c r="F143" s="29" t="str">
        <x:v>BPK-310</x:v>
      </x:c>
      <x:c r="G143" s="30" t="n">
        <x:v>450</x:v>
      </x:c>
      <x:c r="H143" s="30" t="n">
        <x:v>35</x:v>
      </x:c>
      <x:c r="I143" s="30" t="n">
        <x:v>415</x:v>
      </x:c>
      <x:c r="J143" s="31" t="n">
        <x:v>1.22</x:v>
      </x:c>
      <x:c r="K143" s="30" t="n">
        <x:v>20361</x:v>
      </x:c>
      <x:c r="L143" s="30" t="n">
        <x:v>19309</x:v>
      </x:c>
      <x:c r="M143" s="30" t="n">
        <x:v>18769</x:v>
      </x:c>
      <x:c r="N143" s="30" t="n">
        <x:v>540</x:v>
      </x:c>
      <x:c r="O143" s="32" t="n">
        <x:v>0.9222222222222223</x:v>
      </x:c>
      <x:c r="P143" s="32" t="n">
        <x:v>0.946063453815261</x:v>
      </x:c>
      <x:c r="Q143" s="32" t="n">
        <x:v>0.9720337666373193</x:v>
      </x:c>
      <x:c r="R143" s="32" t="n">
        <x:v>0.8480807407407407</x:v>
      </x:c>
      <x:c r="S143" s="29" t="str">
        <x:v>Quality check</x:v>
      </x:c>
      <x:c r="T143" s="29" t="str">
        <x:v>Seal</x:v>
      </x:c>
      <x:c r="U143" s="30" t="n">
        <x:v>15</x:v>
      </x:c>
      <x:c r="V143" s="33" t="n">
        <x:v>174</x:v>
      </x:c>
      <x:c r="W143" s="34" t="n">
        <x:v>6.9</x:v>
      </x:c>
    </x:row>
    <x:row r="144">
      <x:c r="A144" s="28" t="n">
        <x:v>46251</x:v>
      </x:c>
      <x:c r="B144" s="29" t="str">
        <x:v>W07</x:v>
      </x:c>
      <x:c r="C144" s="29" t="str">
        <x:v>Late</x:v>
      </x:c>
      <x:c r="D144" s="29" t="str">
        <x:v>Line A</x:v>
      </x:c>
      <x:c r="E144" s="29" t="str">
        <x:v>Valve</x:v>
      </x:c>
      <x:c r="F144" s="29" t="str">
        <x:v>VAL-100</x:v>
      </x:c>
      <x:c r="G144" s="30" t="n">
        <x:v>450</x:v>
      </x:c>
      <x:c r="H144" s="30" t="n">
        <x:v>57</x:v>
      </x:c>
      <x:c r="I144" s="30" t="n">
        <x:v>393</x:v>
      </x:c>
      <x:c r="J144" s="31" t="n">
        <x:v>0.96</x:v>
      </x:c>
      <x:c r="K144" s="30" t="n">
        <x:v>25875</x:v>
      </x:c>
      <x:c r="L144" s="30" t="n">
        <x:v>22289</x:v>
      </x:c>
      <x:c r="M144" s="30" t="n">
        <x:v>21762</x:v>
      </x:c>
      <x:c r="N144" s="30" t="n">
        <x:v>527</x:v>
      </x:c>
      <x:c r="O144" s="32" t="n">
        <x:v>0.8733333333333333</x:v>
      </x:c>
      <x:c r="P144" s="32" t="n">
        <x:v>0.9074402035623409</x:v>
      </x:c>
      <x:c r="Q144" s="32" t="n">
        <x:v>0.9763560500695411</x:v>
      </x:c>
      <x:c r="R144" s="32" t="n">
        <x:v>0.7737599999999999</x:v>
      </x:c>
      <x:c r="S144" s="29" t="str">
        <x:v>Mechanical fault</x:v>
      </x:c>
      <x:c r="T144" s="29" t="str">
        <x:v>Assembly</x:v>
      </x:c>
      <x:c r="U144" s="30" t="n">
        <x:v>20</x:v>
      </x:c>
      <x:c r="V144" s="33" t="n">
        <x:v>212.9</x:v>
      </x:c>
      <x:c r="W144" s="34" t="n">
        <x:v>6.6</x:v>
      </x:c>
    </x:row>
    <x:row r="145">
      <x:c r="A145" s="28" t="n">
        <x:v>46251</x:v>
      </x:c>
      <x:c r="B145" s="29" t="str">
        <x:v>W07</x:v>
      </x:c>
      <x:c r="C145" s="29" t="str">
        <x:v>Night</x:v>
      </x:c>
      <x:c r="D145" s="29" t="str">
        <x:v>Line B</x:v>
      </x:c>
      <x:c r="E145" s="29" t="str">
        <x:v>Actuator</x:v>
      </x:c>
      <x:c r="F145" s="29" t="str">
        <x:v>ACT-220</x:v>
      </x:c>
      <x:c r="G145" s="30" t="n">
        <x:v>450</x:v>
      </x:c>
      <x:c r="H145" s="30" t="n">
        <x:v>67</x:v>
      </x:c>
      <x:c r="I145" s="30" t="n">
        <x:v>383</x:v>
      </x:c>
      <x:c r="J145" s="31" t="n">
        <x:v>1.08</x:v>
      </x:c>
      <x:c r="K145" s="30" t="n">
        <x:v>23000</x:v>
      </x:c>
      <x:c r="L145" s="30" t="n">
        <x:v>18151</x:v>
      </x:c>
      <x:c r="M145" s="30" t="n">
        <x:v>17936</x:v>
      </x:c>
      <x:c r="N145" s="30" t="n">
        <x:v>215</x:v>
      </x:c>
      <x:c r="O145" s="32" t="n">
        <x:v>0.8511111111111112</x:v>
      </x:c>
      <x:c r="P145" s="32" t="n">
        <x:v>0.8530496083550915</x:v>
      </x:c>
      <x:c r="Q145" s="32" t="n">
        <x:v>0.9881549225937964</x:v>
      </x:c>
      <x:c r="R145" s="32" t="n">
        <x:v>0.7174400000000001</x:v>
      </x:c>
      <x:c r="S145" s="29" t="str">
        <x:v>Mechanical fault</x:v>
      </x:c>
      <x:c r="T145" s="29" t="str">
        <x:v>None</x:v>
      </x:c>
      <x:c r="U145" s="30" t="n">
        <x:v>30</x:v>
      </x:c>
      <x:c r="V145" s="33" t="n">
        <x:v>215.8</x:v>
      </x:c>
      <x:c r="W145" s="34" t="n">
        <x:v>6.4</x:v>
      </x:c>
    </x:row>
    <x:row r="146">
      <x:c r="A146" s="28" t="n">
        <x:v>46252</x:v>
      </x:c>
      <x:c r="B146" s="29" t="str">
        <x:v>W07</x:v>
      </x:c>
      <x:c r="C146" s="29" t="str">
        <x:v>Day</x:v>
      </x:c>
      <x:c r="D146" s="29" t="str">
        <x:v>Line A</x:v>
      </x:c>
      <x:c r="E146" s="29" t="str">
        <x:v>Valve</x:v>
      </x:c>
      <x:c r="F146" s="29" t="str">
        <x:v>VAL-100</x:v>
      </x:c>
      <x:c r="G146" s="30" t="n">
        <x:v>450</x:v>
      </x:c>
      <x:c r="H146" s="30" t="n">
        <x:v>52</x:v>
      </x:c>
      <x:c r="I146" s="30" t="n">
        <x:v>398</x:v>
      </x:c>
      <x:c r="J146" s="31" t="n">
        <x:v>0.96</x:v>
      </x:c>
      <x:c r="K146" s="30" t="n">
        <x:v>25875</x:v>
      </x:c>
      <x:c r="L146" s="30" t="n">
        <x:v>21887</x:v>
      </x:c>
      <x:c r="M146" s="30" t="n">
        <x:v>21321</x:v>
      </x:c>
      <x:c r="N146" s="30" t="n">
        <x:v>566</x:v>
      </x:c>
      <x:c r="O146" s="32" t="n">
        <x:v>0.8844444444444445</x:v>
      </x:c>
      <x:c r="P146" s="32" t="n">
        <x:v>0.8798793969849247</x:v>
      </x:c>
      <x:c r="Q146" s="32" t="n">
        <x:v>0.9741399003974962</x:v>
      </x:c>
      <x:c r="R146" s="32" t="n">
        <x:v>0.75808</x:v>
      </x:c>
      <x:c r="S146" s="29" t="str">
        <x:v>Cleaning</x:v>
      </x:c>
      <x:c r="T146" s="29" t="str">
        <x:v>Assembly</x:v>
      </x:c>
      <x:c r="U146" s="30" t="n">
        <x:v>18</x:v>
      </x:c>
      <x:c r="V146" s="33" t="n">
        <x:v>206.6</x:v>
      </x:c>
      <x:c r="W146" s="34" t="n">
        <x:v>6.6</x:v>
      </x:c>
    </x:row>
    <x:row r="147">
      <x:c r="A147" s="28" t="n">
        <x:v>46252</x:v>
      </x:c>
      <x:c r="B147" s="29" t="str">
        <x:v>W07</x:v>
      </x:c>
      <x:c r="C147" s="29" t="str">
        <x:v>Late</x:v>
      </x:c>
      <x:c r="D147" s="29" t="str">
        <x:v>Line B</x:v>
      </x:c>
      <x:c r="E147" s="29" t="str">
        <x:v>Actuator</x:v>
      </x:c>
      <x:c r="F147" s="29" t="str">
        <x:v>ACT-220</x:v>
      </x:c>
      <x:c r="G147" s="30" t="n">
        <x:v>450</x:v>
      </x:c>
      <x:c r="H147" s="30" t="n">
        <x:v>63</x:v>
      </x:c>
      <x:c r="I147" s="30" t="n">
        <x:v>387</x:v>
      </x:c>
      <x:c r="J147" s="31" t="n">
        <x:v>1.08</x:v>
      </x:c>
      <x:c r="K147" s="30" t="n">
        <x:v>23000</x:v>
      </x:c>
      <x:c r="L147" s="30" t="n">
        <x:v>18648</x:v>
      </x:c>
      <x:c r="M147" s="30" t="n">
        <x:v>18251</x:v>
      </x:c>
      <x:c r="N147" s="30" t="n">
        <x:v>397</x:v>
      </x:c>
      <x:c r="O147" s="32" t="n">
        <x:v>0.86</x:v>
      </x:c>
      <x:c r="P147" s="32" t="n">
        <x:v>0.8673488372093023</x:v>
      </x:c>
      <x:c r="Q147" s="32" t="n">
        <x:v>0.9787108537108538</x:v>
      </x:c>
      <x:c r="R147" s="32" t="n">
        <x:v>0.73004</x:v>
      </x:c>
      <x:c r="S147" s="29" t="str">
        <x:v>Mechanical fault</x:v>
      </x:c>
      <x:c r="T147" s="29" t="str">
        <x:v>Seal</x:v>
      </x:c>
      <x:c r="U147" s="30" t="n">
        <x:v>25</x:v>
      </x:c>
      <x:c r="V147" s="33" t="n">
        <x:v>181.6</x:v>
      </x:c>
      <x:c r="W147" s="34" t="n">
        <x:v>6.5</x:v>
      </x:c>
    </x:row>
    <x:row r="148">
      <x:c r="A148" s="28" t="n">
        <x:v>46252</x:v>
      </x:c>
      <x:c r="B148" s="29" t="str">
        <x:v>W07</x:v>
      </x:c>
      <x:c r="C148" s="29" t="str">
        <x:v>Night</x:v>
      </x:c>
      <x:c r="D148" s="29" t="str">
        <x:v>Line C</x:v>
      </x:c>
      <x:c r="E148" s="29" t="str">
        <x:v>Barrier Pack</x:v>
      </x:c>
      <x:c r="F148" s="29" t="str">
        <x:v>BPK-310</x:v>
      </x:c>
      <x:c r="G148" s="30" t="n">
        <x:v>450</x:v>
      </x:c>
      <x:c r="H148" s="30" t="n">
        <x:v>38</x:v>
      </x:c>
      <x:c r="I148" s="30" t="n">
        <x:v>412</x:v>
      </x:c>
      <x:c r="J148" s="31" t="n">
        <x:v>1.22</x:v>
      </x:c>
      <x:c r="K148" s="30" t="n">
        <x:v>20361</x:v>
      </x:c>
      <x:c r="L148" s="30" t="n">
        <x:v>17289</x:v>
      </x:c>
      <x:c r="M148" s="30" t="n">
        <x:v>16969</x:v>
      </x:c>
      <x:c r="N148" s="30" t="n">
        <x:v>320</x:v>
      </x:c>
      <x:c r="O148" s="32" t="n">
        <x:v>0.9155555555555556</x:v>
      </x:c>
      <x:c r="P148" s="32" t="n">
        <x:v>0.853259708737864</x:v>
      </x:c>
      <x:c r="Q148" s="32" t="n">
        <x:v>0.9814911215223553</x:v>
      </x:c>
      <x:c r="R148" s="32" t="n">
        <x:v>0.7667474074074073</x:v>
      </x:c>
      <x:c r="S148" s="29" t="str">
        <x:v>Sensor fault</x:v>
      </x:c>
      <x:c r="T148" s="29" t="str">
        <x:v>None</x:v>
      </x:c>
      <x:c r="U148" s="30" t="n">
        <x:v>22</x:v>
      </x:c>
      <x:c r="V148" s="33" t="n">
        <x:v>210.5</x:v>
      </x:c>
      <x:c r="W148" s="34" t="n">
        <x:v>6.9</x:v>
      </x:c>
    </x:row>
    <x:row r="149">
      <x:c r="A149" s="28" t="n">
        <x:v>46253</x:v>
      </x:c>
      <x:c r="B149" s="29" t="str">
        <x:v>W08</x:v>
      </x:c>
      <x:c r="C149" s="29" t="str">
        <x:v>Day</x:v>
      </x:c>
      <x:c r="D149" s="29" t="str">
        <x:v>Line B</x:v>
      </x:c>
      <x:c r="E149" s="29" t="str">
        <x:v>Actuator</x:v>
      </x:c>
      <x:c r="F149" s="29" t="str">
        <x:v>ACT-220</x:v>
      </x:c>
      <x:c r="G149" s="30" t="n">
        <x:v>450</x:v>
      </x:c>
      <x:c r="H149" s="30" t="n">
        <x:v>38</x:v>
      </x:c>
      <x:c r="I149" s="30" t="n">
        <x:v>412</x:v>
      </x:c>
      <x:c r="J149" s="31" t="n">
        <x:v>1.08</x:v>
      </x:c>
      <x:c r="K149" s="30" t="n">
        <x:v>23000</x:v>
      </x:c>
      <x:c r="L149" s="30" t="n">
        <x:v>19418</x:v>
      </x:c>
      <x:c r="M149" s="30" t="n">
        <x:v>18870</x:v>
      </x:c>
      <x:c r="N149" s="30" t="n">
        <x:v>548</x:v>
      </x:c>
      <x:c r="O149" s="32" t="n">
        <x:v>0.9155555555555556</x:v>
      </x:c>
      <x:c r="P149" s="32" t="n">
        <x:v>0.848359223300971</x:v>
      </x:c>
      <x:c r="Q149" s="32" t="n">
        <x:v>0.9717787619734267</x:v>
      </x:c>
      <x:c r="R149" s="32" t="n">
        <x:v>0.7548000000000001</x:v>
      </x:c>
      <x:c r="S149" s="29" t="str">
        <x:v>Mechanical fault</x:v>
      </x:c>
      <x:c r="T149" s="29" t="str">
        <x:v>Cosmetic</x:v>
      </x:c>
      <x:c r="U149" s="30" t="n">
        <x:v>30</x:v>
      </x:c>
      <x:c r="V149" s="33" t="n">
        <x:v>194</x:v>
      </x:c>
      <x:c r="W149" s="34" t="n">
        <x:v>6.9</x:v>
      </x:c>
    </x:row>
    <x:row r="150">
      <x:c r="A150" s="28" t="n">
        <x:v>46253</x:v>
      </x:c>
      <x:c r="B150" s="29" t="str">
        <x:v>W08</x:v>
      </x:c>
      <x:c r="C150" s="29" t="str">
        <x:v>Late</x:v>
      </x:c>
      <x:c r="D150" s="29" t="str">
        <x:v>Line C</x:v>
      </x:c>
      <x:c r="E150" s="29" t="str">
        <x:v>Barrier Pack</x:v>
      </x:c>
      <x:c r="F150" s="29" t="str">
        <x:v>BPK-310</x:v>
      </x:c>
      <x:c r="G150" s="30" t="n">
        <x:v>450</x:v>
      </x:c>
      <x:c r="H150" s="30" t="n">
        <x:v>43</x:v>
      </x:c>
      <x:c r="I150" s="30" t="n">
        <x:v>407</x:v>
      </x:c>
      <x:c r="J150" s="31" t="n">
        <x:v>1.22</x:v>
      </x:c>
      <x:c r="K150" s="30" t="n">
        <x:v>20361</x:v>
      </x:c>
      <x:c r="L150" s="30" t="n">
        <x:v>18700</x:v>
      </x:c>
      <x:c r="M150" s="30" t="n">
        <x:v>18225</x:v>
      </x:c>
      <x:c r="N150" s="30" t="n">
        <x:v>475</x:v>
      </x:c>
      <x:c r="O150" s="32" t="n">
        <x:v>0.9044444444444445</x:v>
      </x:c>
      <x:c r="P150" s="32" t="n">
        <x:v>0.9342342342342342</x:v>
      </x:c>
      <x:c r="Q150" s="32" t="n">
        <x:v>0.9745989304812834</x:v>
      </x:c>
      <x:c r="R150" s="32" t="n">
        <x:v>0.8235000000000001</x:v>
      </x:c>
      <x:c r="S150" s="29" t="str">
        <x:v>Changeover</x:v>
      </x:c>
      <x:c r="T150" s="29" t="str">
        <x:v>Seal</x:v>
      </x:c>
      <x:c r="U150" s="30" t="n">
        <x:v>23</x:v>
      </x:c>
      <x:c r="V150" s="33" t="n">
        <x:v>222.9</x:v>
      </x:c>
      <x:c r="W150" s="34" t="n">
        <x:v>6.8</x:v>
      </x:c>
    </x:row>
    <x:row r="151">
      <x:c r="A151" s="28" t="n">
        <x:v>46253</x:v>
      </x:c>
      <x:c r="B151" s="29" t="str">
        <x:v>W08</x:v>
      </x:c>
      <x:c r="C151" s="29" t="str">
        <x:v>Night</x:v>
      </x:c>
      <x:c r="D151" s="29" t="str">
        <x:v>Line A</x:v>
      </x:c>
      <x:c r="E151" s="29" t="str">
        <x:v>Valve</x:v>
      </x:c>
      <x:c r="F151" s="29" t="str">
        <x:v>VAL-100</x:v>
      </x:c>
      <x:c r="G151" s="30" t="n">
        <x:v>450</x:v>
      </x:c>
      <x:c r="H151" s="30" t="n">
        <x:v>32</x:v>
      </x:c>
      <x:c r="I151" s="30" t="n">
        <x:v>418</x:v>
      </x:c>
      <x:c r="J151" s="31" t="n">
        <x:v>0.96</x:v>
      </x:c>
      <x:c r="K151" s="30" t="n">
        <x:v>25875</x:v>
      </x:c>
      <x:c r="L151" s="30" t="n">
        <x:v>22745</x:v>
      </x:c>
      <x:c r="M151" s="30" t="n">
        <x:v>22553</x:v>
      </x:c>
      <x:c r="N151" s="30" t="n">
        <x:v>192</x:v>
      </x:c>
      <x:c r="O151" s="32" t="n">
        <x:v>0.9288888888888889</x:v>
      </x:c>
      <x:c r="P151" s="32" t="n">
        <x:v>0.8706220095693781</x:v>
      </x:c>
      <x:c r="Q151" s="32" t="n">
        <x:v>0.9915585843042427</x:v>
      </x:c>
      <x:c r="R151" s="32" t="n">
        <x:v>0.8018844444444445</x:v>
      </x:c>
      <x:c r="S151" s="29" t="str">
        <x:v>Quality check</x:v>
      </x:c>
      <x:c r="T151" s="29" t="str">
        <x:v>None</x:v>
      </x:c>
      <x:c r="U151" s="30" t="n">
        <x:v>10</x:v>
      </x:c>
      <x:c r="V151" s="33" t="n">
        <x:v>181.8</x:v>
      </x:c>
      <x:c r="W151" s="34" t="n">
        <x:v>7</x:v>
      </x:c>
    </x:row>
    <x:row r="152">
      <x:c r="A152" s="28" t="n">
        <x:v>46254</x:v>
      </x:c>
      <x:c r="B152" s="29" t="str">
        <x:v>W08</x:v>
      </x:c>
      <x:c r="C152" s="29" t="str">
        <x:v>Day</x:v>
      </x:c>
      <x:c r="D152" s="29" t="str">
        <x:v>Line C</x:v>
      </x:c>
      <x:c r="E152" s="29" t="str">
        <x:v>Barrier Pack</x:v>
      </x:c>
      <x:c r="F152" s="29" t="str">
        <x:v>BPK-310</x:v>
      </x:c>
      <x:c r="G152" s="30" t="n">
        <x:v>450</x:v>
      </x:c>
      <x:c r="H152" s="30" t="n">
        <x:v>31</x:v>
      </x:c>
      <x:c r="I152" s="30" t="n">
        <x:v>419</x:v>
      </x:c>
      <x:c r="J152" s="31" t="n">
        <x:v>1.22</x:v>
      </x:c>
      <x:c r="K152" s="30" t="n">
        <x:v>20361</x:v>
      </x:c>
      <x:c r="L152" s="30" t="n">
        <x:v>19959</x:v>
      </x:c>
      <x:c r="M152" s="30" t="n">
        <x:v>19463</x:v>
      </x:c>
      <x:c r="N152" s="30" t="n">
        <x:v>496</x:v>
      </x:c>
      <x:c r="O152" s="32" t="n">
        <x:v>0.9311111111111111</x:v>
      </x:c>
      <x:c r="P152" s="32" t="n">
        <x:v>0.9685751789976134</x:v>
      </x:c>
      <x:c r="Q152" s="32" t="n">
        <x:v>0.975149055563906</x:v>
      </x:c>
      <x:c r="R152" s="32" t="n">
        <x:v>0.8794392592592593</x:v>
      </x:c>
      <x:c r="S152" s="29" t="str">
        <x:v>Cleaning</x:v>
      </x:c>
      <x:c r="T152" s="29" t="str">
        <x:v>Leak test</x:v>
      </x:c>
      <x:c r="U152" s="30" t="n">
        <x:v>21</x:v>
      </x:c>
      <x:c r="V152" s="33" t="n">
        <x:v>145.5</x:v>
      </x:c>
      <x:c r="W152" s="34" t="n">
        <x:v>7</x:v>
      </x:c>
    </x:row>
    <x:row r="153">
      <x:c r="A153" s="28" t="n">
        <x:v>46254</x:v>
      </x:c>
      <x:c r="B153" s="29" t="str">
        <x:v>W08</x:v>
      </x:c>
      <x:c r="C153" s="29" t="str">
        <x:v>Late</x:v>
      </x:c>
      <x:c r="D153" s="29" t="str">
        <x:v>Line A</x:v>
      </x:c>
      <x:c r="E153" s="29" t="str">
        <x:v>Valve</x:v>
      </x:c>
      <x:c r="F153" s="29" t="str">
        <x:v>VAL-100</x:v>
      </x:c>
      <x:c r="G153" s="30" t="n">
        <x:v>450</x:v>
      </x:c>
      <x:c r="H153" s="30" t="n">
        <x:v>54</x:v>
      </x:c>
      <x:c r="I153" s="30" t="n">
        <x:v>396</x:v>
      </x:c>
      <x:c r="J153" s="31" t="n">
        <x:v>0.96</x:v>
      </x:c>
      <x:c r="K153" s="30" t="n">
        <x:v>25875</x:v>
      </x:c>
      <x:c r="L153" s="30" t="n">
        <x:v>21174</x:v>
      </x:c>
      <x:c r="M153" s="30" t="n">
        <x:v>20677</x:v>
      </x:c>
      <x:c r="N153" s="30" t="n">
        <x:v>497</x:v>
      </x:c>
      <x:c r="O153" s="32" t="n">
        <x:v>0.88</x:v>
      </x:c>
      <x:c r="P153" s="32" t="n">
        <x:v>0.8555151515151516</x:v>
      </x:c>
      <x:c r="Q153" s="32" t="n">
        <x:v>0.9765278171342212</x:v>
      </x:c>
      <x:c r="R153" s="32" t="n">
        <x:v>0.7351822222222223</x:v>
      </x:c>
      <x:c r="S153" s="29" t="str">
        <x:v>Changeover</x:v>
      </x:c>
      <x:c r="T153" s="29" t="str">
        <x:v>Assembly</x:v>
      </x:c>
      <x:c r="U153" s="30" t="n">
        <x:v>30</x:v>
      </x:c>
      <x:c r="V153" s="33" t="n">
        <x:v>194.2</x:v>
      </x:c>
      <x:c r="W153" s="34" t="n">
        <x:v>6.6</x:v>
      </x:c>
    </x:row>
    <x:row r="154">
      <x:c r="A154" s="28" t="n">
        <x:v>46254</x:v>
      </x:c>
      <x:c r="B154" s="29" t="str">
        <x:v>W08</x:v>
      </x:c>
      <x:c r="C154" s="29" t="str">
        <x:v>Night</x:v>
      </x:c>
      <x:c r="D154" s="29" t="str">
        <x:v>Line B</x:v>
      </x:c>
      <x:c r="E154" s="29" t="str">
        <x:v>Actuator</x:v>
      </x:c>
      <x:c r="F154" s="29" t="str">
        <x:v>ACT-220</x:v>
      </x:c>
      <x:c r="G154" s="30" t="n">
        <x:v>450</x:v>
      </x:c>
      <x:c r="H154" s="30" t="n">
        <x:v>36</x:v>
      </x:c>
      <x:c r="I154" s="30" t="n">
        <x:v>414</x:v>
      </x:c>
      <x:c r="J154" s="31" t="n">
        <x:v>1.08</x:v>
      </x:c>
      <x:c r="K154" s="30" t="n">
        <x:v>23000</x:v>
      </x:c>
      <x:c r="L154" s="30" t="n">
        <x:v>20133</x:v>
      </x:c>
      <x:c r="M154" s="30" t="n">
        <x:v>19742</x:v>
      </x:c>
      <x:c r="N154" s="30" t="n">
        <x:v>391</x:v>
      </x:c>
      <x:c r="O154" s="32" t="n">
        <x:v>0.92</x:v>
      </x:c>
      <x:c r="P154" s="32" t="n">
        <x:v>0.8753478260869566</x:v>
      </x:c>
      <x:c r="Q154" s="32" t="n">
        <x:v>0.9805791486614017</x:v>
      </x:c>
      <x:c r="R154" s="32" t="n">
        <x:v>0.7896800000000002</x:v>
      </x:c>
      <x:c r="S154" s="29" t="str">
        <x:v>Cleaning</x:v>
      </x:c>
      <x:c r="T154" s="29" t="str">
        <x:v>Leak test</x:v>
      </x:c>
      <x:c r="U154" s="30" t="n">
        <x:v>16</x:v>
      </x:c>
      <x:c r="V154" s="33" t="n">
        <x:v>201.9</x:v>
      </x:c>
      <x:c r="W154" s="34" t="n">
        <x:v>6.9</x:v>
      </x:c>
    </x:row>
    <x:row r="155">
      <x:c r="A155" s="28" t="n">
        <x:v>46255</x:v>
      </x:c>
      <x:c r="B155" s="29" t="str">
        <x:v>W08</x:v>
      </x:c>
      <x:c r="C155" s="29" t="str">
        <x:v>Day</x:v>
      </x:c>
      <x:c r="D155" s="29" t="str">
        <x:v>Line A</x:v>
      </x:c>
      <x:c r="E155" s="29" t="str">
        <x:v>Valve</x:v>
      </x:c>
      <x:c r="F155" s="29" t="str">
        <x:v>VAL-100</x:v>
      </x:c>
      <x:c r="G155" s="30" t="n">
        <x:v>450</x:v>
      </x:c>
      <x:c r="H155" s="30" t="n">
        <x:v>43</x:v>
      </x:c>
      <x:c r="I155" s="30" t="n">
        <x:v>407</x:v>
      </x:c>
      <x:c r="J155" s="31" t="n">
        <x:v>0.96</x:v>
      </x:c>
      <x:c r="K155" s="30" t="n">
        <x:v>25875</x:v>
      </x:c>
      <x:c r="L155" s="30" t="n">
        <x:v>23733</x:v>
      </x:c>
      <x:c r="M155" s="30" t="n">
        <x:v>23025</x:v>
      </x:c>
      <x:c r="N155" s="30" t="n">
        <x:v>708</x:v>
      </x:c>
      <x:c r="O155" s="32" t="n">
        <x:v>0.9044444444444445</x:v>
      </x:c>
      <x:c r="P155" s="32" t="n">
        <x:v>0.932992628992629</x:v>
      </x:c>
      <x:c r="Q155" s="32" t="n">
        <x:v>0.9701681203387688</x:v>
      </x:c>
      <x:c r="R155" s="32" t="n">
        <x:v>0.8186666666666667</x:v>
      </x:c>
      <x:c r="S155" s="29" t="str">
        <x:v>Sensor fault</x:v>
      </x:c>
      <x:c r="T155" s="29" t="str">
        <x:v>Cosmetic</x:v>
      </x:c>
      <x:c r="U155" s="30" t="n">
        <x:v>30</x:v>
      </x:c>
      <x:c r="V155" s="33" t="n">
        <x:v>172.5</x:v>
      </x:c>
      <x:c r="W155" s="34" t="n">
        <x:v>6.8</x:v>
      </x:c>
    </x:row>
    <x:row r="156">
      <x:c r="A156" s="28" t="n">
        <x:v>46255</x:v>
      </x:c>
      <x:c r="B156" s="29" t="str">
        <x:v>W08</x:v>
      </x:c>
      <x:c r="C156" s="29" t="str">
        <x:v>Late</x:v>
      </x:c>
      <x:c r="D156" s="29" t="str">
        <x:v>Line B</x:v>
      </x:c>
      <x:c r="E156" s="29" t="str">
        <x:v>Actuator</x:v>
      </x:c>
      <x:c r="F156" s="29" t="str">
        <x:v>ACT-220</x:v>
      </x:c>
      <x:c r="G156" s="30" t="n">
        <x:v>450</x:v>
      </x:c>
      <x:c r="H156" s="30" t="n">
        <x:v>32</x:v>
      </x:c>
      <x:c r="I156" s="30" t="n">
        <x:v>418</x:v>
      </x:c>
      <x:c r="J156" s="31" t="n">
        <x:v>1.08</x:v>
      </x:c>
      <x:c r="K156" s="30" t="n">
        <x:v>23000</x:v>
      </x:c>
      <x:c r="L156" s="30" t="n">
        <x:v>21889</x:v>
      </x:c>
      <x:c r="M156" s="30" t="n">
        <x:v>21671</x:v>
      </x:c>
      <x:c r="N156" s="30" t="n">
        <x:v>218</x:v>
      </x:c>
      <x:c r="O156" s="32" t="n">
        <x:v>0.9288888888888889</x:v>
      </x:c>
      <x:c r="P156" s="32" t="n">
        <x:v>0.9425885167464116</x:v>
      </x:c>
      <x:c r="Q156" s="32" t="n">
        <x:v>0.9900406596920828</x:v>
      </x:c>
      <x:c r="R156" s="32" t="n">
        <x:v>0.86684</x:v>
      </x:c>
      <x:c r="S156" s="29" t="str">
        <x:v>Quality check</x:v>
      </x:c>
      <x:c r="T156" s="29" t="str">
        <x:v>None</x:v>
      </x:c>
      <x:c r="U156" s="30" t="n">
        <x:v>17</x:v>
      </x:c>
      <x:c r="V156" s="33" t="n">
        <x:v>187.3</x:v>
      </x:c>
      <x:c r="W156" s="34" t="n">
        <x:v>7</x:v>
      </x:c>
    </x:row>
    <x:row r="157">
      <x:c r="A157" s="28" t="n">
        <x:v>46255</x:v>
      </x:c>
      <x:c r="B157" s="29" t="str">
        <x:v>W08</x:v>
      </x:c>
      <x:c r="C157" s="29" t="str">
        <x:v>Night</x:v>
      </x:c>
      <x:c r="D157" s="29" t="str">
        <x:v>Line C</x:v>
      </x:c>
      <x:c r="E157" s="29" t="str">
        <x:v>Barrier Pack</x:v>
      </x:c>
      <x:c r="F157" s="29" t="str">
        <x:v>BPK-310</x:v>
      </x:c>
      <x:c r="G157" s="30" t="n">
        <x:v>450</x:v>
      </x:c>
      <x:c r="H157" s="30" t="n">
        <x:v>29</x:v>
      </x:c>
      <x:c r="I157" s="30" t="n">
        <x:v>421</x:v>
      </x:c>
      <x:c r="J157" s="31" t="n">
        <x:v>1.22</x:v>
      </x:c>
      <x:c r="K157" s="30" t="n">
        <x:v>20361</x:v>
      </x:c>
      <x:c r="L157" s="30" t="n">
        <x:v>18508</x:v>
      </x:c>
      <x:c r="M157" s="30" t="n">
        <x:v>18372</x:v>
      </x:c>
      <x:c r="N157" s="30" t="n">
        <x:v>136</x:v>
      </x:c>
      <x:c r="O157" s="32" t="n">
        <x:v>0.9355555555555556</x:v>
      </x:c>
      <x:c r="P157" s="32" t="n">
        <x:v>0.8938939034045922</x:v>
      </x:c>
      <x:c r="Q157" s="32" t="n">
        <x:v>0.9926518262373027</x:v>
      </x:c>
      <x:c r="R157" s="32" t="n">
        <x:v>0.8301422222222221</x:v>
      </x:c>
      <x:c r="S157" s="29" t="str">
        <x:v>Changeover</x:v>
      </x:c>
      <x:c r="T157" s="29" t="str">
        <x:v>None</x:v>
      </x:c>
      <x:c r="U157" s="30" t="n">
        <x:v>12</x:v>
      </x:c>
      <x:c r="V157" s="33" t="n">
        <x:v>182.8</x:v>
      </x:c>
      <x:c r="W157" s="34" t="n">
        <x:v>7</x:v>
      </x:c>
    </x:row>
    <x:row r="158">
      <x:c r="A158" s="28" t="n">
        <x:v>46256</x:v>
      </x:c>
      <x:c r="B158" s="29" t="str">
        <x:v>W08</x:v>
      </x:c>
      <x:c r="C158" s="29" t="str">
        <x:v>Day</x:v>
      </x:c>
      <x:c r="D158" s="29" t="str">
        <x:v>Line B</x:v>
      </x:c>
      <x:c r="E158" s="29" t="str">
        <x:v>Actuator</x:v>
      </x:c>
      <x:c r="F158" s="29" t="str">
        <x:v>ACT-220</x:v>
      </x:c>
      <x:c r="G158" s="30" t="n">
        <x:v>450</x:v>
      </x:c>
      <x:c r="H158" s="30" t="n">
        <x:v>64</x:v>
      </x:c>
      <x:c r="I158" s="30" t="n">
        <x:v>386</x:v>
      </x:c>
      <x:c r="J158" s="31" t="n">
        <x:v>1.08</x:v>
      </x:c>
      <x:c r="K158" s="30" t="n">
        <x:v>23000</x:v>
      </x:c>
      <x:c r="L158" s="30" t="n">
        <x:v>19739</x:v>
      </x:c>
      <x:c r="M158" s="30" t="n">
        <x:v>19263</x:v>
      </x:c>
      <x:c r="N158" s="30" t="n">
        <x:v>476</x:v>
      </x:c>
      <x:c r="O158" s="32" t="n">
        <x:v>0.8577777777777778</x:v>
      </x:c>
      <x:c r="P158" s="32" t="n">
        <x:v>0.9204715025906737</x:v>
      </x:c>
      <x:c r="Q158" s="32" t="n">
        <x:v>0.9758853032068494</x:v>
      </x:c>
      <x:c r="R158" s="32" t="n">
        <x:v>0.7705200000000001</x:v>
      </x:c>
      <x:c r="S158" s="29" t="str">
        <x:v>Material shortage</x:v>
      </x:c>
      <x:c r="T158" s="29" t="str">
        <x:v>Leak test</x:v>
      </x:c>
      <x:c r="U158" s="30" t="n">
        <x:v>25</x:v>
      </x:c>
      <x:c r="V158" s="33" t="n">
        <x:v>214.3</x:v>
      </x:c>
      <x:c r="W158" s="34" t="n">
        <x:v>6.4</x:v>
      </x:c>
    </x:row>
    <x:row r="159">
      <x:c r="A159" s="28" t="n">
        <x:v>46256</x:v>
      </x:c>
      <x:c r="B159" s="29" t="str">
        <x:v>W08</x:v>
      </x:c>
      <x:c r="C159" s="29" t="str">
        <x:v>Late</x:v>
      </x:c>
      <x:c r="D159" s="29" t="str">
        <x:v>Line C</x:v>
      </x:c>
      <x:c r="E159" s="29" t="str">
        <x:v>Barrier Pack</x:v>
      </x:c>
      <x:c r="F159" s="29" t="str">
        <x:v>BPK-310</x:v>
      </x:c>
      <x:c r="G159" s="30" t="n">
        <x:v>450</x:v>
      </x:c>
      <x:c r="H159" s="30" t="n">
        <x:v>46</x:v>
      </x:c>
      <x:c r="I159" s="30" t="n">
        <x:v>404</x:v>
      </x:c>
      <x:c r="J159" s="31" t="n">
        <x:v>1.22</x:v>
      </x:c>
      <x:c r="K159" s="30" t="n">
        <x:v>20361</x:v>
      </x:c>
      <x:c r="L159" s="30" t="n">
        <x:v>17285</x:v>
      </x:c>
      <x:c r="M159" s="30" t="n">
        <x:v>16985</x:v>
      </x:c>
      <x:c r="N159" s="30" t="n">
        <x:v>300</x:v>
      </x:c>
      <x:c r="O159" s="32" t="n">
        <x:v>0.8977777777777778</x:v>
      </x:c>
      <x:c r="P159" s="32" t="n">
        <x:v>0.8699546204620462</x:v>
      </x:c>
      <x:c r="Q159" s="32" t="n">
        <x:v>0.9826439109054094</x:v>
      </x:c>
      <x:c r="R159" s="32" t="n">
        <x:v>0.7674703703703704</x:v>
      </x:c>
      <x:c r="S159" s="29" t="str">
        <x:v>Mechanical fault</x:v>
      </x:c>
      <x:c r="T159" s="29" t="str">
        <x:v>None</x:v>
      </x:c>
      <x:c r="U159" s="30" t="n">
        <x:v>29</x:v>
      </x:c>
      <x:c r="V159" s="33" t="n">
        <x:v>160.8</x:v>
      </x:c>
      <x:c r="W159" s="34" t="n">
        <x:v>6.7</x:v>
      </x:c>
    </x:row>
    <x:row r="160">
      <x:c r="A160" s="28" t="n">
        <x:v>46256</x:v>
      </x:c>
      <x:c r="B160" s="29" t="str">
        <x:v>W08</x:v>
      </x:c>
      <x:c r="C160" s="29" t="str">
        <x:v>Night</x:v>
      </x:c>
      <x:c r="D160" s="29" t="str">
        <x:v>Line A</x:v>
      </x:c>
      <x:c r="E160" s="29" t="str">
        <x:v>Valve</x:v>
      </x:c>
      <x:c r="F160" s="29" t="str">
        <x:v>VAL-100</x:v>
      </x:c>
      <x:c r="G160" s="30" t="n">
        <x:v>450</x:v>
      </x:c>
      <x:c r="H160" s="30" t="n">
        <x:v>50</x:v>
      </x:c>
      <x:c r="I160" s="30" t="n">
        <x:v>400</x:v>
      </x:c>
      <x:c r="J160" s="31" t="n">
        <x:v>0.96</x:v>
      </x:c>
      <x:c r="K160" s="30" t="n">
        <x:v>25875</x:v>
      </x:c>
      <x:c r="L160" s="30" t="n">
        <x:v>21217</x:v>
      </x:c>
      <x:c r="M160" s="30" t="n">
        <x:v>20857</x:v>
      </x:c>
      <x:c r="N160" s="30" t="n">
        <x:v>360</x:v>
      </x:c>
      <x:c r="O160" s="32" t="n">
        <x:v>0.8888888888888888</x:v>
      </x:c>
      <x:c r="P160" s="32" t="n">
        <x:v>0.84868</x:v>
      </x:c>
      <x:c r="Q160" s="32" t="n">
        <x:v>0.9830324739595607</x:v>
      </x:c>
      <x:c r="R160" s="32" t="n">
        <x:v>0.7415822222222221</x:v>
      </x:c>
      <x:c r="S160" s="29" t="str">
        <x:v>Sensor fault</x:v>
      </x:c>
      <x:c r="T160" s="29" t="str">
        <x:v>Dimension</x:v>
      </x:c>
      <x:c r="U160" s="30" t="n">
        <x:v>14</x:v>
      </x:c>
      <x:c r="V160" s="33" t="n">
        <x:v>162.3</x:v>
      </x:c>
      <x:c r="W160" s="34" t="n">
        <x:v>6.7</x:v>
      </x:c>
    </x:row>
    <x:row r="161">
      <x:c r="A161" s="28" t="n">
        <x:v>46257</x:v>
      </x:c>
      <x:c r="B161" s="29" t="str">
        <x:v>W08</x:v>
      </x:c>
      <x:c r="C161" s="29" t="str">
        <x:v>Day</x:v>
      </x:c>
      <x:c r="D161" s="29" t="str">
        <x:v>Line C</x:v>
      </x:c>
      <x:c r="E161" s="29" t="str">
        <x:v>Barrier Pack</x:v>
      </x:c>
      <x:c r="F161" s="29" t="str">
        <x:v>BPK-310</x:v>
      </x:c>
      <x:c r="G161" s="30" t="n">
        <x:v>450</x:v>
      </x:c>
      <x:c r="H161" s="30" t="n">
        <x:v>35</x:v>
      </x:c>
      <x:c r="I161" s="30" t="n">
        <x:v>415</x:v>
      </x:c>
      <x:c r="J161" s="31" t="n">
        <x:v>1.22</x:v>
      </x:c>
      <x:c r="K161" s="30" t="n">
        <x:v>20361</x:v>
      </x:c>
      <x:c r="L161" s="30" t="n">
        <x:v>19664</x:v>
      </x:c>
      <x:c r="M161" s="30" t="n">
        <x:v>19065</x:v>
      </x:c>
      <x:c r="N161" s="30" t="n">
        <x:v>599</x:v>
      </x:c>
      <x:c r="O161" s="32" t="n">
        <x:v>0.9222222222222223</x:v>
      </x:c>
      <x:c r="P161" s="32" t="n">
        <x:v>0.9634570281124497</x:v>
      </x:c>
      <x:c r="Q161" s="32" t="n">
        <x:v>0.9695382424735557</x:v>
      </x:c>
      <x:c r="R161" s="32" t="n">
        <x:v>0.8614555555555555</x:v>
      </x:c>
      <x:c r="S161" s="29" t="str">
        <x:v>Cleaning</x:v>
      </x:c>
      <x:c r="T161" s="29" t="str">
        <x:v>Dimension</x:v>
      </x:c>
      <x:c r="U161" s="30" t="n">
        <x:v>18</x:v>
      </x:c>
      <x:c r="V161" s="33" t="n">
        <x:v>183.1</x:v>
      </x:c>
      <x:c r="W161" s="34" t="n">
        <x:v>6.9</x:v>
      </x:c>
    </x:row>
    <x:row r="162">
      <x:c r="A162" s="28" t="n">
        <x:v>46257</x:v>
      </x:c>
      <x:c r="B162" s="29" t="str">
        <x:v>W08</x:v>
      </x:c>
      <x:c r="C162" s="29" t="str">
        <x:v>Late</x:v>
      </x:c>
      <x:c r="D162" s="29" t="str">
        <x:v>Line A</x:v>
      </x:c>
      <x:c r="E162" s="29" t="str">
        <x:v>Valve</x:v>
      </x:c>
      <x:c r="F162" s="29" t="str">
        <x:v>VAL-100</x:v>
      </x:c>
      <x:c r="G162" s="30" t="n">
        <x:v>450</x:v>
      </x:c>
      <x:c r="H162" s="30" t="n">
        <x:v>55</x:v>
      </x:c>
      <x:c r="I162" s="30" t="n">
        <x:v>395</x:v>
      </x:c>
      <x:c r="J162" s="31" t="n">
        <x:v>0.96</x:v>
      </x:c>
      <x:c r="K162" s="30" t="n">
        <x:v>25875</x:v>
      </x:c>
      <x:c r="L162" s="30" t="n">
        <x:v>22788</x:v>
      </x:c>
      <x:c r="M162" s="30" t="n">
        <x:v>22351</x:v>
      </x:c>
      <x:c r="N162" s="30" t="n">
        <x:v>437</x:v>
      </x:c>
      <x:c r="O162" s="32" t="n">
        <x:v>0.8777777777777778</x:v>
      </x:c>
      <x:c r="P162" s="32" t="n">
        <x:v>0.9230582278481012</x:v>
      </x:c>
      <x:c r="Q162" s="32" t="n">
        <x:v>0.9808232403019133</x:v>
      </x:c>
      <x:c r="R162" s="32" t="n">
        <x:v>0.7947022222222222</x:v>
      </x:c>
      <x:c r="S162" s="29" t="str">
        <x:v>Quality check</x:v>
      </x:c>
      <x:c r="T162" s="29" t="str">
        <x:v>Dimension</x:v>
      </x:c>
      <x:c r="U162" s="30" t="n">
        <x:v>21</x:v>
      </x:c>
      <x:c r="V162" s="33" t="n">
        <x:v>194.8</x:v>
      </x:c>
      <x:c r="W162" s="34" t="n">
        <x:v>6.6</x:v>
      </x:c>
    </x:row>
    <x:row r="163">
      <x:c r="A163" s="28" t="n">
        <x:v>46257</x:v>
      </x:c>
      <x:c r="B163" s="29" t="str">
        <x:v>W08</x:v>
      </x:c>
      <x:c r="C163" s="29" t="str">
        <x:v>Night</x:v>
      </x:c>
      <x:c r="D163" s="29" t="str">
        <x:v>Line B</x:v>
      </x:c>
      <x:c r="E163" s="29" t="str">
        <x:v>Actuator</x:v>
      </x:c>
      <x:c r="F163" s="29" t="str">
        <x:v>ACT-220</x:v>
      </x:c>
      <x:c r="G163" s="30" t="n">
        <x:v>450</x:v>
      </x:c>
      <x:c r="H163" s="30" t="n">
        <x:v>35</x:v>
      </x:c>
      <x:c r="I163" s="30" t="n">
        <x:v>415</x:v>
      </x:c>
      <x:c r="J163" s="31" t="n">
        <x:v>1.08</x:v>
      </x:c>
      <x:c r="K163" s="30" t="n">
        <x:v>23000</x:v>
      </x:c>
      <x:c r="L163" s="30" t="n">
        <x:v>21158</x:v>
      </x:c>
      <x:c r="M163" s="30" t="n">
        <x:v>20763</x:v>
      </x:c>
      <x:c r="N163" s="30" t="n">
        <x:v>395</x:v>
      </x:c>
      <x:c r="O163" s="32" t="n">
        <x:v>0.9222222222222223</x:v>
      </x:c>
      <x:c r="P163" s="32" t="n">
        <x:v>0.9176963855421688</x:v>
      </x:c>
      <x:c r="Q163" s="32" t="n">
        <x:v>0.9813309386520465</x:v>
      </x:c>
      <x:c r="R163" s="32" t="n">
        <x:v>0.8305200000000001</x:v>
      </x:c>
      <x:c r="S163" s="29" t="str">
        <x:v>Cleaning</x:v>
      </x:c>
      <x:c r="T163" s="29" t="str">
        <x:v>Assembly</x:v>
      </x:c>
      <x:c r="U163" s="30" t="n">
        <x:v>9</x:v>
      </x:c>
      <x:c r="V163" s="33" t="n">
        <x:v>169.7</x:v>
      </x:c>
      <x:c r="W163" s="34" t="n">
        <x:v>6.9</x:v>
      </x:c>
    </x:row>
    <x:row r="164">
      <x:c r="A164" s="28" t="n">
        <x:v>46258</x:v>
      </x:c>
      <x:c r="B164" s="29" t="str">
        <x:v>W08</x:v>
      </x:c>
      <x:c r="C164" s="29" t="str">
        <x:v>Day</x:v>
      </x:c>
      <x:c r="D164" s="29" t="str">
        <x:v>Line A</x:v>
      </x:c>
      <x:c r="E164" s="29" t="str">
        <x:v>Valve</x:v>
      </x:c>
      <x:c r="F164" s="29" t="str">
        <x:v>VAL-100</x:v>
      </x:c>
      <x:c r="G164" s="30" t="n">
        <x:v>450</x:v>
      </x:c>
      <x:c r="H164" s="30" t="n">
        <x:v>25</x:v>
      </x:c>
      <x:c r="I164" s="30" t="n">
        <x:v>425</x:v>
      </x:c>
      <x:c r="J164" s="31" t="n">
        <x:v>0.96</x:v>
      </x:c>
      <x:c r="K164" s="30" t="n">
        <x:v>25875</x:v>
      </x:c>
      <x:c r="L164" s="30" t="n">
        <x:v>25372</x:v>
      </x:c>
      <x:c r="M164" s="30" t="n">
        <x:v>25042</x:v>
      </x:c>
      <x:c r="N164" s="30" t="n">
        <x:v>330</x:v>
      </x:c>
      <x:c r="O164" s="32" t="n">
        <x:v>0.9444444444444444</x:v>
      </x:c>
      <x:c r="P164" s="32" t="n">
        <x:v>0.9551811764705882</x:v>
      </x:c>
      <x:c r="Q164" s="32" t="n">
        <x:v>0.9869935361816176</x:v>
      </x:c>
      <x:c r="R164" s="32" t="n">
        <x:v>0.8903822222222222</x:v>
      </x:c>
      <x:c r="S164" s="29" t="str">
        <x:v>Changeover</x:v>
      </x:c>
      <x:c r="T164" s="29" t="str">
        <x:v>None</x:v>
      </x:c>
      <x:c r="U164" s="30" t="n">
        <x:v>16</x:v>
      </x:c>
      <x:c r="V164" s="33" t="n">
        <x:v>219.8</x:v>
      </x:c>
      <x:c r="W164" s="34" t="n">
        <x:v>7.1</x:v>
      </x:c>
    </x:row>
    <x:row r="165">
      <x:c r="A165" s="28" t="n">
        <x:v>46258</x:v>
      </x:c>
      <x:c r="B165" s="29" t="str">
        <x:v>W08</x:v>
      </x:c>
      <x:c r="C165" s="29" t="str">
        <x:v>Late</x:v>
      </x:c>
      <x:c r="D165" s="29" t="str">
        <x:v>Line B</x:v>
      </x:c>
      <x:c r="E165" s="29" t="str">
        <x:v>Actuator</x:v>
      </x:c>
      <x:c r="F165" s="29" t="str">
        <x:v>ACT-220</x:v>
      </x:c>
      <x:c r="G165" s="30" t="n">
        <x:v>450</x:v>
      </x:c>
      <x:c r="H165" s="30" t="n">
        <x:v>47</x:v>
      </x:c>
      <x:c r="I165" s="30" t="n">
        <x:v>403</x:v>
      </x:c>
      <x:c r="J165" s="31" t="n">
        <x:v>1.08</x:v>
      </x:c>
      <x:c r="K165" s="30" t="n">
        <x:v>23000</x:v>
      </x:c>
      <x:c r="L165" s="30" t="n">
        <x:v>20973</x:v>
      </x:c>
      <x:c r="M165" s="30" t="n">
        <x:v>20426</x:v>
      </x:c>
      <x:c r="N165" s="30" t="n">
        <x:v>547</x:v>
      </x:c>
      <x:c r="O165" s="32" t="n">
        <x:v>0.8955555555555555</x:v>
      </x:c>
      <x:c r="P165" s="32" t="n">
        <x:v>0.9367593052109181</x:v>
      </x:c>
      <x:c r="Q165" s="32" t="n">
        <x:v>0.9739188480427216</x:v>
      </x:c>
      <x:c r="R165" s="32" t="n">
        <x:v>0.81704</x:v>
      </x:c>
      <x:c r="S165" s="29" t="str">
        <x:v>Material shortage</x:v>
      </x:c>
      <x:c r="T165" s="29" t="str">
        <x:v>Cosmetic</x:v>
      </x:c>
      <x:c r="U165" s="30" t="n">
        <x:v>13</x:v>
      </x:c>
      <x:c r="V165" s="33" t="n">
        <x:v>206.8</x:v>
      </x:c>
      <x:c r="W165" s="34" t="n">
        <x:v>6.7</x:v>
      </x:c>
    </x:row>
    <x:row r="166">
      <x:c r="A166" s="28" t="n">
        <x:v>46258</x:v>
      </x:c>
      <x:c r="B166" s="29" t="str">
        <x:v>W08</x:v>
      </x:c>
      <x:c r="C166" s="29" t="str">
        <x:v>Night</x:v>
      </x:c>
      <x:c r="D166" s="29" t="str">
        <x:v>Line C</x:v>
      </x:c>
      <x:c r="E166" s="29" t="str">
        <x:v>Barrier Pack</x:v>
      </x:c>
      <x:c r="F166" s="29" t="str">
        <x:v>BPK-310</x:v>
      </x:c>
      <x:c r="G166" s="30" t="n">
        <x:v>450</x:v>
      </x:c>
      <x:c r="H166" s="30" t="n">
        <x:v>55</x:v>
      </x:c>
      <x:c r="I166" s="30" t="n">
        <x:v>395</x:v>
      </x:c>
      <x:c r="J166" s="31" t="n">
        <x:v>1.22</x:v>
      </x:c>
      <x:c r="K166" s="30" t="n">
        <x:v>20361</x:v>
      </x:c>
      <x:c r="L166" s="30" t="n">
        <x:v>18381</x:v>
      </x:c>
      <x:c r="M166" s="30" t="n">
        <x:v>18100</x:v>
      </x:c>
      <x:c r="N166" s="30" t="n">
        <x:v>281</x:v>
      </x:c>
      <x:c r="O166" s="32" t="n">
        <x:v>0.8777777777777778</x:v>
      </x:c>
      <x:c r="P166" s="32" t="n">
        <x:v>0.9461949367088608</x:v>
      </x:c>
      <x:c r="Q166" s="32" t="n">
        <x:v>0.984712474838148</x:v>
      </x:c>
      <x:c r="R166" s="32" t="n">
        <x:v>0.8178518518518518</x:v>
      </x:c>
      <x:c r="S166" s="29" t="str">
        <x:v>Sensor fault</x:v>
      </x:c>
      <x:c r="T166" s="29" t="str">
        <x:v>None</x:v>
      </x:c>
      <x:c r="U166" s="30" t="n">
        <x:v>28</x:v>
      </x:c>
      <x:c r="V166" s="33" t="n">
        <x:v>206.2</x:v>
      </x:c>
      <x:c r="W166" s="34" t="n">
        <x:v>6.6</x:v>
      </x:c>
    </x:row>
    <x:row r="167">
      <x:c r="A167" s="28" t="n">
        <x:v>46259</x:v>
      </x:c>
      <x:c r="B167" s="29" t="str">
        <x:v>W08</x:v>
      </x:c>
      <x:c r="C167" s="29" t="str">
        <x:v>Day</x:v>
      </x:c>
      <x:c r="D167" s="29" t="str">
        <x:v>Line B</x:v>
      </x:c>
      <x:c r="E167" s="29" t="str">
        <x:v>Actuator</x:v>
      </x:c>
      <x:c r="F167" s="29" t="str">
        <x:v>ACT-220</x:v>
      </x:c>
      <x:c r="G167" s="30" t="n">
        <x:v>450</x:v>
      </x:c>
      <x:c r="H167" s="30" t="n">
        <x:v>55</x:v>
      </x:c>
      <x:c r="I167" s="30" t="n">
        <x:v>395</x:v>
      </x:c>
      <x:c r="J167" s="31" t="n">
        <x:v>1.08</x:v>
      </x:c>
      <x:c r="K167" s="30" t="n">
        <x:v>23000</x:v>
      </x:c>
      <x:c r="L167" s="30" t="n">
        <x:v>21083</x:v>
      </x:c>
      <x:c r="M167" s="30" t="n">
        <x:v>20497</x:v>
      </x:c>
      <x:c r="N167" s="30" t="n">
        <x:v>586</x:v>
      </x:c>
      <x:c r="O167" s="32" t="n">
        <x:v>0.8777777777777778</x:v>
      </x:c>
      <x:c r="P167" s="32" t="n">
        <x:v>0.9607443037974684</x:v>
      </x:c>
      <x:c r="Q167" s="32" t="n">
        <x:v>0.9722050941516862</x:v>
      </x:c>
      <x:c r="R167" s="32" t="n">
        <x:v>0.81988</x:v>
      </x:c>
      <x:c r="S167" s="29" t="str">
        <x:v>Sensor fault</x:v>
      </x:c>
      <x:c r="T167" s="29" t="str">
        <x:v>Seal</x:v>
      </x:c>
      <x:c r="U167" s="30" t="n">
        <x:v>16</x:v>
      </x:c>
      <x:c r="V167" s="33" t="n">
        <x:v>215.6</x:v>
      </x:c>
      <x:c r="W167" s="34" t="n">
        <x:v>6.6</x:v>
      </x:c>
    </x:row>
    <x:row r="168">
      <x:c r="A168" s="28" t="n">
        <x:v>46259</x:v>
      </x:c>
      <x:c r="B168" s="29" t="str">
        <x:v>W08</x:v>
      </x:c>
      <x:c r="C168" s="29" t="str">
        <x:v>Late</x:v>
      </x:c>
      <x:c r="D168" s="29" t="str">
        <x:v>Line C</x:v>
      </x:c>
      <x:c r="E168" s="29" t="str">
        <x:v>Barrier Pack</x:v>
      </x:c>
      <x:c r="F168" s="29" t="str">
        <x:v>BPK-310</x:v>
      </x:c>
      <x:c r="G168" s="30" t="n">
        <x:v>450</x:v>
      </x:c>
      <x:c r="H168" s="30" t="n">
        <x:v>48</x:v>
      </x:c>
      <x:c r="I168" s="30" t="n">
        <x:v>402</x:v>
      </x:c>
      <x:c r="J168" s="31" t="n">
        <x:v>1.22</x:v>
      </x:c>
      <x:c r="K168" s="30" t="n">
        <x:v>20361</x:v>
      </x:c>
      <x:c r="L168" s="30" t="n">
        <x:v>17218</x:v>
      </x:c>
      <x:c r="M168" s="30" t="n">
        <x:v>16901</x:v>
      </x:c>
      <x:c r="N168" s="30" t="n">
        <x:v>317</x:v>
      </x:c>
      <x:c r="O168" s="32" t="n">
        <x:v>0.8933333333333333</x:v>
      </x:c>
      <x:c r="P168" s="32" t="n">
        <x:v>0.870893864013267</x:v>
      </x:c>
      <x:c r="Q168" s="32" t="n">
        <x:v>0.9815890347310954</x:v>
      </x:c>
      <x:c r="R168" s="32" t="n">
        <x:v>0.7636748148148147</x:v>
      </x:c>
      <x:c r="S168" s="29" t="str">
        <x:v>Changeover</x:v>
      </x:c>
      <x:c r="T168" s="29" t="str">
        <x:v>None</x:v>
      </x:c>
      <x:c r="U168" s="30" t="n">
        <x:v>24</x:v>
      </x:c>
      <x:c r="V168" s="33" t="n">
        <x:v>203</x:v>
      </x:c>
      <x:c r="W168" s="34" t="n">
        <x:v>6.7</x:v>
      </x:c>
    </x:row>
    <x:row r="169">
      <x:c r="A169" s="28" t="n">
        <x:v>46259</x:v>
      </x:c>
      <x:c r="B169" s="29" t="str">
        <x:v>W08</x:v>
      </x:c>
      <x:c r="C169" s="29" t="str">
        <x:v>Night</x:v>
      </x:c>
      <x:c r="D169" s="29" t="str">
        <x:v>Line A</x:v>
      </x:c>
      <x:c r="E169" s="29" t="str">
        <x:v>Valve</x:v>
      </x:c>
      <x:c r="F169" s="29" t="str">
        <x:v>VAL-100</x:v>
      </x:c>
      <x:c r="G169" s="30" t="n">
        <x:v>450</x:v>
      </x:c>
      <x:c r="H169" s="30" t="n">
        <x:v>28</x:v>
      </x:c>
      <x:c r="I169" s="30" t="n">
        <x:v>422</x:v>
      </x:c>
      <x:c r="J169" s="31" t="n">
        <x:v>0.96</x:v>
      </x:c>
      <x:c r="K169" s="30" t="n">
        <x:v>25875</x:v>
      </x:c>
      <x:c r="L169" s="30" t="n">
        <x:v>22662</x:v>
      </x:c>
      <x:c r="M169" s="30" t="n">
        <x:v>22335</x:v>
      </x:c>
      <x:c r="N169" s="30" t="n">
        <x:v>327</x:v>
      </x:c>
      <x:c r="O169" s="32" t="n">
        <x:v>0.9377777777777778</x:v>
      </x:c>
      <x:c r="P169" s="32" t="n">
        <x:v>0.8592227488151659</x:v>
      </x:c>
      <x:c r="Q169" s="32" t="n">
        <x:v>0.9855705586444268</x:v>
      </x:c>
      <x:c r="R169" s="32" t="n">
        <x:v>0.7941333333333334</x:v>
      </x:c>
      <x:c r="S169" s="29" t="str">
        <x:v>Cleaning</x:v>
      </x:c>
      <x:c r="T169" s="29" t="str">
        <x:v>None</x:v>
      </x:c>
      <x:c r="U169" s="30" t="n">
        <x:v>12</x:v>
      </x:c>
      <x:c r="V169" s="33" t="n">
        <x:v>196.9</x:v>
      </x:c>
      <x:c r="W169" s="34" t="n">
        <x:v>7</x:v>
      </x:c>
    </x:row>
    <x:row r="170">
      <x:c r="A170" s="28" t="n">
        <x:v>46260</x:v>
      </x:c>
      <x:c r="B170" s="29" t="str">
        <x:v>W09</x:v>
      </x:c>
      <x:c r="C170" s="29" t="str">
        <x:v>Day</x:v>
      </x:c>
      <x:c r="D170" s="29" t="str">
        <x:v>Line C</x:v>
      </x:c>
      <x:c r="E170" s="29" t="str">
        <x:v>Barrier Pack</x:v>
      </x:c>
      <x:c r="F170" s="29" t="str">
        <x:v>BPK-310</x:v>
      </x:c>
      <x:c r="G170" s="30" t="n">
        <x:v>450</x:v>
      </x:c>
      <x:c r="H170" s="30" t="n">
        <x:v>18</x:v>
      </x:c>
      <x:c r="I170" s="30" t="n">
        <x:v>432</x:v>
      </x:c>
      <x:c r="J170" s="31" t="n">
        <x:v>1.22</x:v>
      </x:c>
      <x:c r="K170" s="30" t="n">
        <x:v>20361</x:v>
      </x:c>
      <x:c r="L170" s="30" t="n">
        <x:v>18339</x:v>
      </x:c>
      <x:c r="M170" s="30" t="n">
        <x:v>17814</x:v>
      </x:c>
      <x:c r="N170" s="30" t="n">
        <x:v>525</x:v>
      </x:c>
      <x:c r="O170" s="32" t="n">
        <x:v>0.96</x:v>
      </x:c>
      <x:c r="P170" s="32" t="n">
        <x:v>0.8631782407407407</x:v>
      </x:c>
      <x:c r="Q170" s="32" t="n">
        <x:v>0.9713724848683134</x:v>
      </x:c>
      <x:c r="R170" s="32" t="n">
        <x:v>0.8049288888888888</x:v>
      </x:c>
      <x:c r="S170" s="29" t="str">
        <x:v>Sensor fault</x:v>
      </x:c>
      <x:c r="T170" s="29" t="str">
        <x:v>Leak test</x:v>
      </x:c>
      <x:c r="U170" s="30" t="n">
        <x:v>8</x:v>
      </x:c>
      <x:c r="V170" s="33" t="n">
        <x:v>206.2</x:v>
      </x:c>
      <x:c r="W170" s="34" t="n">
        <x:v>7.2</x:v>
      </x:c>
    </x:row>
    <x:row r="171">
      <x:c r="A171" s="28" t="n">
        <x:v>46260</x:v>
      </x:c>
      <x:c r="B171" s="29" t="str">
        <x:v>W09</x:v>
      </x:c>
      <x:c r="C171" s="29" t="str">
        <x:v>Late</x:v>
      </x:c>
      <x:c r="D171" s="29" t="str">
        <x:v>Line A</x:v>
      </x:c>
      <x:c r="E171" s="29" t="str">
        <x:v>Valve</x:v>
      </x:c>
      <x:c r="F171" s="29" t="str">
        <x:v>VAL-100</x:v>
      </x:c>
      <x:c r="G171" s="30" t="n">
        <x:v>450</x:v>
      </x:c>
      <x:c r="H171" s="30" t="n">
        <x:v>70</x:v>
      </x:c>
      <x:c r="I171" s="30" t="n">
        <x:v>380</x:v>
      </x:c>
      <x:c r="J171" s="31" t="n">
        <x:v>0.96</x:v>
      </x:c>
      <x:c r="K171" s="30" t="n">
        <x:v>25875</x:v>
      </x:c>
      <x:c r="L171" s="30" t="n">
        <x:v>21848</x:v>
      </x:c>
      <x:c r="M171" s="30" t="n">
        <x:v>21204</x:v>
      </x:c>
      <x:c r="N171" s="30" t="n">
        <x:v>644</x:v>
      </x:c>
      <x:c r="O171" s="32" t="n">
        <x:v>0.8444444444444444</x:v>
      </x:c>
      <x:c r="P171" s="32" t="n">
        <x:v>0.9199157894736841</x:v>
      </x:c>
      <x:c r="Q171" s="32" t="n">
        <x:v>0.970523617722446</x:v>
      </x:c>
      <x:c r="R171" s="32" t="n">
        <x:v>0.7539199999999999</x:v>
      </x:c>
      <x:c r="S171" s="29" t="str">
        <x:v>Sensor fault</x:v>
      </x:c>
      <x:c r="T171" s="29" t="str">
        <x:v>Cosmetic</x:v>
      </x:c>
      <x:c r="U171" s="30" t="n">
        <x:v>25</x:v>
      </x:c>
      <x:c r="V171" s="33" t="n">
        <x:v>153.1</x:v>
      </x:c>
      <x:c r="W171" s="34" t="n">
        <x:v>6.3</x:v>
      </x:c>
    </x:row>
    <x:row r="172">
      <x:c r="A172" s="28" t="n">
        <x:v>46260</x:v>
      </x:c>
      <x:c r="B172" s="29" t="str">
        <x:v>W09</x:v>
      </x:c>
      <x:c r="C172" s="29" t="str">
        <x:v>Night</x:v>
      </x:c>
      <x:c r="D172" s="29" t="str">
        <x:v>Line B</x:v>
      </x:c>
      <x:c r="E172" s="29" t="str">
        <x:v>Actuator</x:v>
      </x:c>
      <x:c r="F172" s="29" t="str">
        <x:v>ACT-220</x:v>
      </x:c>
      <x:c r="G172" s="30" t="n">
        <x:v>450</x:v>
      </x:c>
      <x:c r="H172" s="30" t="n">
        <x:v>40</x:v>
      </x:c>
      <x:c r="I172" s="30" t="n">
        <x:v>410</x:v>
      </x:c>
      <x:c r="J172" s="31" t="n">
        <x:v>1.08</x:v>
      </x:c>
      <x:c r="K172" s="30" t="n">
        <x:v>23000</x:v>
      </x:c>
      <x:c r="L172" s="30" t="n">
        <x:v>21888</x:v>
      </x:c>
      <x:c r="M172" s="30" t="n">
        <x:v>21195</x:v>
      </x:c>
      <x:c r="N172" s="30" t="n">
        <x:v>693</x:v>
      </x:c>
      <x:c r="O172" s="32" t="n">
        <x:v>0.9111111111111111</x:v>
      </x:c>
      <x:c r="P172" s="32" t="n">
        <x:v>0.9609365853658537</x:v>
      </x:c>
      <x:c r="Q172" s="32" t="n">
        <x:v>0.9683388157894737</x:v>
      </x:c>
      <x:c r="R172" s="32" t="n">
        <x:v>0.8478</x:v>
      </x:c>
      <x:c r="S172" s="29" t="str">
        <x:v>Changeover</x:v>
      </x:c>
      <x:c r="T172" s="29" t="str">
        <x:v>Dimension</x:v>
      </x:c>
      <x:c r="U172" s="30" t="n">
        <x:v>22</x:v>
      </x:c>
      <x:c r="V172" s="33" t="n">
        <x:v>217.2</x:v>
      </x:c>
      <x:c r="W172" s="34" t="n">
        <x:v>6.8</x:v>
      </x:c>
    </x:row>
    <x:row r="173">
      <x:c r="A173" s="28" t="n">
        <x:v>46261</x:v>
      </x:c>
      <x:c r="B173" s="29" t="str">
        <x:v>W09</x:v>
      </x:c>
      <x:c r="C173" s="29" t="str">
        <x:v>Day</x:v>
      </x:c>
      <x:c r="D173" s="29" t="str">
        <x:v>Line A</x:v>
      </x:c>
      <x:c r="E173" s="29" t="str">
        <x:v>Valve</x:v>
      </x:c>
      <x:c r="F173" s="29" t="str">
        <x:v>VAL-100</x:v>
      </x:c>
      <x:c r="G173" s="30" t="n">
        <x:v>450</x:v>
      </x:c>
      <x:c r="H173" s="30" t="n">
        <x:v>45</x:v>
      </x:c>
      <x:c r="I173" s="30" t="n">
        <x:v>405</x:v>
      </x:c>
      <x:c r="J173" s="31" t="n">
        <x:v>0.96</x:v>
      </x:c>
      <x:c r="K173" s="30" t="n">
        <x:v>25875</x:v>
      </x:c>
      <x:c r="L173" s="30" t="n">
        <x:v>23273</x:v>
      </x:c>
      <x:c r="M173" s="30" t="n">
        <x:v>23120</x:v>
      </x:c>
      <x:c r="N173" s="30" t="n">
        <x:v>153</x:v>
      </x:c>
      <x:c r="O173" s="32" t="n">
        <x:v>0.9</x:v>
      </x:c>
      <x:c r="P173" s="32" t="n">
        <x:v>0.9194271604938271</x:v>
      </x:c>
      <x:c r="Q173" s="32" t="n">
        <x:v>0.9934258582907232</x:v>
      </x:c>
      <x:c r="R173" s="32" t="n">
        <x:v>0.8220444444444445</x:v>
      </x:c>
      <x:c r="S173" s="29" t="str">
        <x:v>Sensor fault</x:v>
      </x:c>
      <x:c r="T173" s="29" t="str">
        <x:v>None</x:v>
      </x:c>
      <x:c r="U173" s="30" t="n">
        <x:v>21</x:v>
      </x:c>
      <x:c r="V173" s="33" t="n">
        <x:v>197.6</x:v>
      </x:c>
      <x:c r="W173" s="34" t="n">
        <x:v>6.8</x:v>
      </x:c>
    </x:row>
    <x:row r="174">
      <x:c r="A174" s="28" t="n">
        <x:v>46261</x:v>
      </x:c>
      <x:c r="B174" s="29" t="str">
        <x:v>W09</x:v>
      </x:c>
      <x:c r="C174" s="29" t="str">
        <x:v>Late</x:v>
      </x:c>
      <x:c r="D174" s="29" t="str">
        <x:v>Line B</x:v>
      </x:c>
      <x:c r="E174" s="29" t="str">
        <x:v>Actuator</x:v>
      </x:c>
      <x:c r="F174" s="29" t="str">
        <x:v>ACT-220</x:v>
      </x:c>
      <x:c r="G174" s="30" t="n">
        <x:v>450</x:v>
      </x:c>
      <x:c r="H174" s="30" t="n">
        <x:v>22</x:v>
      </x:c>
      <x:c r="I174" s="30" t="n">
        <x:v>428</x:v>
      </x:c>
      <x:c r="J174" s="31" t="n">
        <x:v>1.08</x:v>
      </x:c>
      <x:c r="K174" s="30" t="n">
        <x:v>23000</x:v>
      </x:c>
      <x:c r="L174" s="30" t="n">
        <x:v>21555</x:v>
      </x:c>
      <x:c r="M174" s="30" t="n">
        <x:v>21068</x:v>
      </x:c>
      <x:c r="N174" s="30" t="n">
        <x:v>487</x:v>
      </x:c>
      <x:c r="O174" s="32" t="n">
        <x:v>0.9511111111111111</x:v>
      </x:c>
      <x:c r="P174" s="32" t="n">
        <x:v>0.9065186915887851</x:v>
      </x:c>
      <x:c r="Q174" s="32" t="n">
        <x:v>0.9774066341916029</x:v>
      </x:c>
      <x:c r="R174" s="32" t="n">
        <x:v>0.8427200000000001</x:v>
      </x:c>
      <x:c r="S174" s="29" t="str">
        <x:v>Cleaning</x:v>
      </x:c>
      <x:c r="T174" s="29" t="str">
        <x:v>Assembly</x:v>
      </x:c>
      <x:c r="U174" s="30" t="n">
        <x:v>13</x:v>
      </x:c>
      <x:c r="V174" s="33" t="n">
        <x:v>175.4</x:v>
      </x:c>
      <x:c r="W174" s="34" t="n">
        <x:v>7.1</x:v>
      </x:c>
    </x:row>
    <x:row r="175">
      <x:c r="A175" s="28" t="n">
        <x:v>46261</x:v>
      </x:c>
      <x:c r="B175" s="29" t="str">
        <x:v>W09</x:v>
      </x:c>
      <x:c r="C175" s="29" t="str">
        <x:v>Night</x:v>
      </x:c>
      <x:c r="D175" s="29" t="str">
        <x:v>Line C</x:v>
      </x:c>
      <x:c r="E175" s="29" t="str">
        <x:v>Barrier Pack</x:v>
      </x:c>
      <x:c r="F175" s="29" t="str">
        <x:v>BPK-310</x:v>
      </x:c>
      <x:c r="G175" s="30" t="n">
        <x:v>450</x:v>
      </x:c>
      <x:c r="H175" s="30" t="n">
        <x:v>43</x:v>
      </x:c>
      <x:c r="I175" s="30" t="n">
        <x:v>407</x:v>
      </x:c>
      <x:c r="J175" s="31" t="n">
        <x:v>1.22</x:v>
      </x:c>
      <x:c r="K175" s="30" t="n">
        <x:v>20361</x:v>
      </x:c>
      <x:c r="L175" s="30" t="n">
        <x:v>17189</x:v>
      </x:c>
      <x:c r="M175" s="30" t="n">
        <x:v>17063</x:v>
      </x:c>
      <x:c r="N175" s="30" t="n">
        <x:v>126</x:v>
      </x:c>
      <x:c r="O175" s="32" t="n">
        <x:v>0.9044444444444445</x:v>
      </x:c>
      <x:c r="P175" s="32" t="n">
        <x:v>0.8587461097461097</x:v>
      </x:c>
      <x:c r="Q175" s="32" t="n">
        <x:v>0.9926697306416895</x:v>
      </x:c>
      <x:c r="R175" s="32" t="n">
        <x:v>0.7709948148148148</x:v>
      </x:c>
      <x:c r="S175" s="29" t="str">
        <x:v>Material shortage</x:v>
      </x:c>
      <x:c r="T175" s="29" t="str">
        <x:v>None</x:v>
      </x:c>
      <x:c r="U175" s="30" t="n">
        <x:v>24</x:v>
      </x:c>
      <x:c r="V175" s="33" t="n">
        <x:v>198.8</x:v>
      </x:c>
      <x:c r="W175" s="34" t="n">
        <x:v>6.8</x:v>
      </x:c>
    </x:row>
    <x:row r="176">
      <x:c r="A176" s="28" t="n">
        <x:v>46262</x:v>
      </x:c>
      <x:c r="B176" s="29" t="str">
        <x:v>W09</x:v>
      </x:c>
      <x:c r="C176" s="29" t="str">
        <x:v>Day</x:v>
      </x:c>
      <x:c r="D176" s="29" t="str">
        <x:v>Line B</x:v>
      </x:c>
      <x:c r="E176" s="29" t="str">
        <x:v>Actuator</x:v>
      </x:c>
      <x:c r="F176" s="29" t="str">
        <x:v>ACT-220</x:v>
      </x:c>
      <x:c r="G176" s="30" t="n">
        <x:v>450</x:v>
      </x:c>
      <x:c r="H176" s="30" t="n">
        <x:v>30</x:v>
      </x:c>
      <x:c r="I176" s="30" t="n">
        <x:v>420</x:v>
      </x:c>
      <x:c r="J176" s="31" t="n">
        <x:v>1.08</x:v>
      </x:c>
      <x:c r="K176" s="30" t="n">
        <x:v>23000</x:v>
      </x:c>
      <x:c r="L176" s="30" t="n">
        <x:v>21147</x:v>
      </x:c>
      <x:c r="M176" s="30" t="n">
        <x:v>20706</x:v>
      </x:c>
      <x:c r="N176" s="30" t="n">
        <x:v>441</x:v>
      </x:c>
      <x:c r="O176" s="32" t="n">
        <x:v>0.9333333333333333</x:v>
      </x:c>
      <x:c r="P176" s="32" t="n">
        <x:v>0.9063000000000001</x:v>
      </x:c>
      <x:c r="Q176" s="32" t="n">
        <x:v>0.9791459781529295</x:v>
      </x:c>
      <x:c r="R176" s="32" t="n">
        <x:v>0.8282400000000001</x:v>
      </x:c>
      <x:c r="S176" s="29" t="str">
        <x:v>Quality check</x:v>
      </x:c>
      <x:c r="T176" s="29" t="str">
        <x:v>Dimension</x:v>
      </x:c>
      <x:c r="U176" s="30" t="n">
        <x:v>12</x:v>
      </x:c>
      <x:c r="V176" s="33" t="n">
        <x:v>217.7</x:v>
      </x:c>
      <x:c r="W176" s="34" t="n">
        <x:v>7</x:v>
      </x:c>
    </x:row>
    <x:row r="177">
      <x:c r="A177" s="28" t="n">
        <x:v>46262</x:v>
      </x:c>
      <x:c r="B177" s="29" t="str">
        <x:v>W09</x:v>
      </x:c>
      <x:c r="C177" s="29" t="str">
        <x:v>Late</x:v>
      </x:c>
      <x:c r="D177" s="29" t="str">
        <x:v>Line C</x:v>
      </x:c>
      <x:c r="E177" s="29" t="str">
        <x:v>Barrier Pack</x:v>
      </x:c>
      <x:c r="F177" s="29" t="str">
        <x:v>BPK-310</x:v>
      </x:c>
      <x:c r="G177" s="30" t="n">
        <x:v>450</x:v>
      </x:c>
      <x:c r="H177" s="30" t="n">
        <x:v>51</x:v>
      </x:c>
      <x:c r="I177" s="30" t="n">
        <x:v>399</x:v>
      </x:c>
      <x:c r="J177" s="31" t="n">
        <x:v>1.22</x:v>
      </x:c>
      <x:c r="K177" s="30" t="n">
        <x:v>20361</x:v>
      </x:c>
      <x:c r="L177" s="30" t="n">
        <x:v>18343</x:v>
      </x:c>
      <x:c r="M177" s="30" t="n">
        <x:v>18191</x:v>
      </x:c>
      <x:c r="N177" s="30" t="n">
        <x:v>152</x:v>
      </x:c>
      <x:c r="O177" s="32" t="n">
        <x:v>0.8866666666666667</x:v>
      </x:c>
      <x:c r="P177" s="32" t="n">
        <x:v>0.9347727652464494</x:v>
      </x:c>
      <x:c r="Q177" s="32" t="n">
        <x:v>0.9917134601755438</x:v>
      </x:c>
      <x:c r="R177" s="32" t="n">
        <x:v>0.8219637037037038</x:v>
      </x:c>
      <x:c r="S177" s="29" t="str">
        <x:v>Material shortage</x:v>
      </x:c>
      <x:c r="T177" s="29" t="str">
        <x:v>None</x:v>
      </x:c>
      <x:c r="U177" s="30" t="n">
        <x:v>25</x:v>
      </x:c>
      <x:c r="V177" s="33" t="n">
        <x:v>154.5</x:v>
      </x:c>
      <x:c r="W177" s="34" t="n">
        <x:v>6.7</x:v>
      </x:c>
    </x:row>
    <x:row r="178">
      <x:c r="A178" s="28" t="n">
        <x:v>46262</x:v>
      </x:c>
      <x:c r="B178" s="29" t="str">
        <x:v>W09</x:v>
      </x:c>
      <x:c r="C178" s="29" t="str">
        <x:v>Night</x:v>
      </x:c>
      <x:c r="D178" s="29" t="str">
        <x:v>Line A</x:v>
      </x:c>
      <x:c r="E178" s="29" t="str">
        <x:v>Valve</x:v>
      </x:c>
      <x:c r="F178" s="29" t="str">
        <x:v>VAL-100</x:v>
      </x:c>
      <x:c r="G178" s="30" t="n">
        <x:v>450</x:v>
      </x:c>
      <x:c r="H178" s="30" t="n">
        <x:v>66</x:v>
      </x:c>
      <x:c r="I178" s="30" t="n">
        <x:v>384</x:v>
      </x:c>
      <x:c r="J178" s="31" t="n">
        <x:v>0.96</x:v>
      </x:c>
      <x:c r="K178" s="30" t="n">
        <x:v>25875</x:v>
      </x:c>
      <x:c r="L178" s="30" t="n">
        <x:v>20161</x:v>
      </x:c>
      <x:c r="M178" s="30" t="n">
        <x:v>19944</x:v>
      </x:c>
      <x:c r="N178" s="30" t="n">
        <x:v>217</x:v>
      </x:c>
      <x:c r="O178" s="32" t="n">
        <x:v>0.8533333333333334</x:v>
      </x:c>
      <x:c r="P178" s="32" t="n">
        <x:v>0.8400416666666666</x:v>
      </x:c>
      <x:c r="Q178" s="32" t="n">
        <x:v>0.9892366450076882</x:v>
      </x:c>
      <x:c r="R178" s="32" t="n">
        <x:v>0.7091200000000001</x:v>
      </x:c>
      <x:c r="S178" s="29" t="str">
        <x:v>Sensor fault</x:v>
      </x:c>
      <x:c r="T178" s="29" t="str">
        <x:v>None</x:v>
      </x:c>
      <x:c r="U178" s="30" t="n">
        <x:v>27</x:v>
      </x:c>
      <x:c r="V178" s="33" t="n">
        <x:v>179.3</x:v>
      </x:c>
      <x:c r="W178" s="34" t="n">
        <x:v>6.4</x:v>
      </x:c>
    </x:row>
    <x:row r="179">
      <x:c r="A179" s="28" t="n">
        <x:v>46263</x:v>
      </x:c>
      <x:c r="B179" s="29" t="str">
        <x:v>W09</x:v>
      </x:c>
      <x:c r="C179" s="29" t="str">
        <x:v>Day</x:v>
      </x:c>
      <x:c r="D179" s="29" t="str">
        <x:v>Line C</x:v>
      </x:c>
      <x:c r="E179" s="29" t="str">
        <x:v>Barrier Pack</x:v>
      </x:c>
      <x:c r="F179" s="29" t="str">
        <x:v>BPK-310</x:v>
      </x:c>
      <x:c r="G179" s="30" t="n">
        <x:v>450</x:v>
      </x:c>
      <x:c r="H179" s="30" t="n">
        <x:v>34</x:v>
      </x:c>
      <x:c r="I179" s="30" t="n">
        <x:v>416</x:v>
      </x:c>
      <x:c r="J179" s="31" t="n">
        <x:v>1.22</x:v>
      </x:c>
      <x:c r="K179" s="30" t="n">
        <x:v>20361</x:v>
      </x:c>
      <x:c r="L179" s="30" t="n">
        <x:v>18010</x:v>
      </x:c>
      <x:c r="M179" s="30" t="n">
        <x:v>17578</x:v>
      </x:c>
      <x:c r="N179" s="30" t="n">
        <x:v>432</x:v>
      </x:c>
      <x:c r="O179" s="32" t="n">
        <x:v>0.9244444444444444</x:v>
      </x:c>
      <x:c r="P179" s="32" t="n">
        <x:v>0.8802964743589744</x:v>
      </x:c>
      <x:c r="Q179" s="32" t="n">
        <x:v>0.9760133259300389</x:v>
      </x:c>
      <x:c r="R179" s="32" t="n">
        <x:v>0.7942651851851852</x:v>
      </x:c>
      <x:c r="S179" s="29" t="str">
        <x:v>Mechanical fault</x:v>
      </x:c>
      <x:c r="T179" s="29" t="str">
        <x:v>Dimension</x:v>
      </x:c>
      <x:c r="U179" s="30" t="n">
        <x:v>10</x:v>
      </x:c>
      <x:c r="V179" s="33" t="n">
        <x:v>150.1</x:v>
      </x:c>
      <x:c r="W179" s="34" t="n">
        <x:v>6.9</x:v>
      </x:c>
    </x:row>
    <x:row r="180">
      <x:c r="A180" s="28" t="n">
        <x:v>46263</x:v>
      </x:c>
      <x:c r="B180" s="29" t="str">
        <x:v>W09</x:v>
      </x:c>
      <x:c r="C180" s="29" t="str">
        <x:v>Late</x:v>
      </x:c>
      <x:c r="D180" s="29" t="str">
        <x:v>Line A</x:v>
      </x:c>
      <x:c r="E180" s="29" t="str">
        <x:v>Valve</x:v>
      </x:c>
      <x:c r="F180" s="29" t="str">
        <x:v>VAL-100</x:v>
      </x:c>
      <x:c r="G180" s="30" t="n">
        <x:v>450</x:v>
      </x:c>
      <x:c r="H180" s="30" t="n">
        <x:v>48</x:v>
      </x:c>
      <x:c r="I180" s="30" t="n">
        <x:v>402</x:v>
      </x:c>
      <x:c r="J180" s="31" t="n">
        <x:v>0.96</x:v>
      </x:c>
      <x:c r="K180" s="30" t="n">
        <x:v>25875</x:v>
      </x:c>
      <x:c r="L180" s="30" t="n">
        <x:v>21766</x:v>
      </x:c>
      <x:c r="M180" s="30" t="n">
        <x:v>21515</x:v>
      </x:c>
      <x:c r="N180" s="30" t="n">
        <x:v>251</x:v>
      </x:c>
      <x:c r="O180" s="32" t="n">
        <x:v>0.8933333333333333</x:v>
      </x:c>
      <x:c r="P180" s="32" t="n">
        <x:v>0.8663084577114428</x:v>
      </x:c>
      <x:c r="Q180" s="32" t="n">
        <x:v>0.9884682532389966</x:v>
      </x:c>
      <x:c r="R180" s="32" t="n">
        <x:v>0.7649777777777778</x:v>
      </x:c>
      <x:c r="S180" s="29" t="str">
        <x:v>Sensor fault</x:v>
      </x:c>
      <x:c r="T180" s="29" t="str">
        <x:v>None</x:v>
      </x:c>
      <x:c r="U180" s="30" t="n">
        <x:v>14</x:v>
      </x:c>
      <x:c r="V180" s="33" t="n">
        <x:v>193.4</x:v>
      </x:c>
      <x:c r="W180" s="34" t="n">
        <x:v>6.7</x:v>
      </x:c>
    </x:row>
    <x:row r="181">
      <x:c r="A181" s="35" t="n">
        <x:v>46263</x:v>
      </x:c>
      <x:c r="B181" s="36" t="str">
        <x:v>W09</x:v>
      </x:c>
      <x:c r="C181" s="36" t="str">
        <x:v>Night</x:v>
      </x:c>
      <x:c r="D181" s="36" t="str">
        <x:v>Line B</x:v>
      </x:c>
      <x:c r="E181" s="36" t="str">
        <x:v>Actuator</x:v>
      </x:c>
      <x:c r="F181" s="36" t="str">
        <x:v>ACT-220</x:v>
      </x:c>
      <x:c r="G181" s="37" t="n">
        <x:v>450</x:v>
      </x:c>
      <x:c r="H181" s="37" t="n">
        <x:v>70</x:v>
      </x:c>
      <x:c r="I181" s="37" t="n">
        <x:v>380</x:v>
      </x:c>
      <x:c r="J181" s="38" t="n">
        <x:v>1.08</x:v>
      </x:c>
      <x:c r="K181" s="37" t="n">
        <x:v>23000</x:v>
      </x:c>
      <x:c r="L181" s="37" t="n">
        <x:v>19614</x:v>
      </x:c>
      <x:c r="M181" s="37" t="n">
        <x:v>19276</x:v>
      </x:c>
      <x:c r="N181" s="37" t="n">
        <x:v>338</x:v>
      </x:c>
      <x:c r="O181" s="39" t="n">
        <x:v>0.8444444444444444</x:v>
      </x:c>
      <x:c r="P181" s="39" t="n">
        <x:v>0.929084210526316</x:v>
      </x:c>
      <x:c r="Q181" s="39" t="n">
        <x:v>0.9827674110329356</x:v>
      </x:c>
      <x:c r="R181" s="39" t="n">
        <x:v>0.7710400000000002</x:v>
      </x:c>
      <x:c r="S181" s="36" t="str">
        <x:v>Mechanical fault</x:v>
      </x:c>
      <x:c r="T181" s="36" t="str">
        <x:v>None</x:v>
      </x:c>
      <x:c r="U181" s="37" t="n">
        <x:v>27</x:v>
      </x:c>
      <x:c r="V181" s="40" t="n">
        <x:v>221.3</x:v>
      </x:c>
      <x:c r="W181" s="41" t="n">
        <x:v>6.3</x:v>
      </x:c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</x:row>
  </x:sheetData>
  <x:conditionalFormatting sqref="A2:W18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781b4f0b4e40d3"/>
  </x:tableParts>
</x:worksheet>
</file>